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عوض\Desktop\دراسات\"/>
    </mc:Choice>
  </mc:AlternateContent>
  <xr:revisionPtr revIDLastSave="0" documentId="13_ncr:1_{26E71B1C-B524-445E-B7B4-902BFC99F6BD}"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Sheet2" sheetId="2" r:id="rId2"/>
    <sheet name="Sheet3" sheetId="3" r:id="rId3"/>
    <sheet name="ورقة1" sheetId="4" r:id="rId4"/>
    <sheet name="ورقة2" sheetId="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99" i="1" l="1"/>
  <c r="Q165" i="1"/>
  <c r="H29" i="4"/>
  <c r="M84" i="3"/>
  <c r="G29" i="4"/>
  <c r="F29" i="4"/>
  <c r="E29" i="4"/>
  <c r="D29" i="4"/>
  <c r="C29" i="4"/>
  <c r="B29" i="4"/>
  <c r="D25" i="4"/>
  <c r="C25" i="4"/>
  <c r="B25" i="4"/>
  <c r="D21" i="4"/>
  <c r="I19" i="4"/>
  <c r="H19" i="4"/>
  <c r="G19" i="4"/>
  <c r="F19" i="4"/>
  <c r="E19" i="4"/>
  <c r="D19" i="4"/>
  <c r="C19" i="4"/>
  <c r="B13" i="4"/>
  <c r="B12" i="4"/>
  <c r="C8" i="4"/>
  <c r="D8" i="4"/>
  <c r="E8" i="4"/>
  <c r="F8" i="4"/>
  <c r="G8" i="4"/>
  <c r="H8" i="4"/>
  <c r="I8" i="4"/>
  <c r="L14" i="1"/>
  <c r="K128" i="3"/>
  <c r="E49" i="1" l="1"/>
  <c r="H3" i="1"/>
  <c r="H2" i="1"/>
  <c r="O141" i="1"/>
  <c r="E4" i="1"/>
  <c r="E3" i="1"/>
  <c r="B16" i="1"/>
  <c r="B15" i="1"/>
  <c r="B8" i="1"/>
  <c r="B6" i="1"/>
  <c r="H23" i="1"/>
  <c r="H26" i="1" s="1"/>
  <c r="H22" i="1"/>
  <c r="H25" i="1" s="1"/>
  <c r="H18" i="1"/>
  <c r="K18" i="1" s="1"/>
  <c r="H17" i="1"/>
  <c r="K17" i="1" s="1"/>
  <c r="H10" i="1"/>
  <c r="L10" i="1" s="1"/>
  <c r="H9" i="1"/>
  <c r="L9" i="1" s="1"/>
  <c r="H4" i="1"/>
  <c r="L4" i="1" s="1"/>
  <c r="H5" i="1"/>
  <c r="L5" i="1" s="1"/>
  <c r="H6" i="1"/>
  <c r="L6" i="1" s="1"/>
  <c r="H16" i="1"/>
  <c r="L13" i="1"/>
  <c r="L12" i="1"/>
  <c r="L11" i="1"/>
  <c r="H15" i="1"/>
  <c r="H14" i="1"/>
  <c r="H11" i="1"/>
  <c r="L8" i="1"/>
  <c r="H8" i="1" s="1"/>
  <c r="L7" i="1"/>
  <c r="H7" i="1" s="1"/>
  <c r="H1" i="1"/>
  <c r="E10" i="1"/>
  <c r="E6" i="1"/>
  <c r="E2" i="1"/>
  <c r="E1" i="1"/>
  <c r="B14" i="1"/>
  <c r="B13" i="1"/>
  <c r="B12" i="1"/>
  <c r="Q163" i="1" s="1"/>
  <c r="B11" i="1"/>
  <c r="B9" i="1"/>
  <c r="B3" i="1"/>
  <c r="B2" i="1"/>
  <c r="B1" i="1"/>
  <c r="E12" i="1"/>
  <c r="E11" i="1"/>
  <c r="E41" i="1" s="1"/>
  <c r="B35" i="4" s="1"/>
  <c r="E8" i="1"/>
  <c r="E7" i="1"/>
  <c r="E5" i="1"/>
  <c r="B7" i="1"/>
  <c r="B5" i="1"/>
  <c r="B4" i="1"/>
  <c r="B10" i="3"/>
  <c r="B11" i="3" s="1"/>
  <c r="B12" i="3" s="1"/>
  <c r="B13" i="3" s="1"/>
  <c r="B14" i="3" s="1"/>
  <c r="B15" i="3" s="1"/>
  <c r="B16" i="3" s="1"/>
  <c r="B17" i="3" s="1"/>
  <c r="B18" i="3" s="1"/>
  <c r="B19" i="3" s="1"/>
  <c r="B20" i="3" s="1"/>
  <c r="B21" i="3" s="1"/>
  <c r="B22" i="3" s="1"/>
  <c r="P186" i="1" l="1"/>
  <c r="B97" i="4" s="1"/>
  <c r="Q162" i="1"/>
  <c r="B78" i="4" s="1"/>
  <c r="B79" i="4"/>
  <c r="H24" i="1"/>
  <c r="E40" i="1"/>
  <c r="E42" i="1"/>
  <c r="J8" i="1"/>
  <c r="O144" i="1" s="1"/>
  <c r="B70" i="4" s="1"/>
  <c r="N8" i="1"/>
  <c r="Q169" i="1"/>
  <c r="B83" i="4" s="1"/>
  <c r="O143" i="1"/>
  <c r="B69" i="4" s="1"/>
  <c r="Q171" i="1"/>
  <c r="B75" i="4" s="1"/>
  <c r="B84" i="4" s="1"/>
  <c r="G46" i="1"/>
  <c r="B40" i="4" s="1"/>
  <c r="D44" i="1"/>
  <c r="Q160" i="1"/>
  <c r="Q168" i="1"/>
  <c r="B82" i="4" s="1"/>
  <c r="B138" i="4" l="1"/>
  <c r="B136" i="4"/>
  <c r="B127" i="4"/>
  <c r="E130" i="4" s="1"/>
  <c r="B114" i="4"/>
  <c r="E117" i="4" s="1"/>
  <c r="B115" i="4"/>
  <c r="E118" i="4" s="1"/>
  <c r="B126" i="4"/>
  <c r="E129" i="4" s="1"/>
  <c r="Q167" i="1"/>
  <c r="Q161" i="1"/>
  <c r="Q107" i="1"/>
  <c r="B39" i="4"/>
  <c r="N45" i="1"/>
  <c r="B41" i="4" s="1"/>
  <c r="B37" i="4"/>
  <c r="E39" i="1"/>
  <c r="B34" i="4" s="1"/>
  <c r="B36" i="4"/>
  <c r="B80" i="4"/>
  <c r="Q157" i="1"/>
  <c r="B73" i="4" s="1"/>
  <c r="B76" i="4"/>
  <c r="Q91" i="1"/>
  <c r="B46" i="4" s="1"/>
  <c r="K156" i="3"/>
  <c r="Q158" i="1"/>
  <c r="G44" i="1"/>
  <c r="B38" i="4" s="1"/>
  <c r="Q88" i="1" l="1"/>
  <c r="Q90" i="1" s="1"/>
  <c r="B49" i="4" s="1"/>
  <c r="J251" i="3"/>
  <c r="B107" i="4"/>
  <c r="Q156" i="1"/>
  <c r="Q155" i="1" s="1"/>
  <c r="B74" i="4"/>
  <c r="B77" i="4"/>
  <c r="B81" i="4"/>
  <c r="B47" i="4" l="1"/>
  <c r="Q87" i="1"/>
  <c r="Q106" i="1"/>
  <c r="K129" i="3"/>
  <c r="K157" i="3" s="1"/>
  <c r="K187" i="3" s="1"/>
  <c r="B45" i="4" l="1"/>
  <c r="I102" i="3"/>
  <c r="D112" i="3"/>
  <c r="Q89" i="1"/>
  <c r="B48" i="4" s="1"/>
  <c r="Q139" i="1"/>
  <c r="B68" i="4" s="1"/>
  <c r="Q98" i="1"/>
  <c r="K113" i="3" l="1"/>
  <c r="O256" i="3"/>
  <c r="B52" i="4"/>
  <c r="Q108" i="1"/>
  <c r="B59" i="4" s="1"/>
  <c r="Q85" i="1"/>
  <c r="Q86" i="1" s="1"/>
  <c r="Q92" i="1" s="1"/>
  <c r="M176" i="1"/>
  <c r="B89" i="4" s="1"/>
  <c r="Q192" i="1"/>
  <c r="Q181" i="1" l="1"/>
  <c r="B44" i="4"/>
  <c r="K226" i="3"/>
  <c r="B102" i="4"/>
  <c r="R116" i="1"/>
  <c r="B64" i="4" s="1"/>
  <c r="B88" i="4" s="1"/>
  <c r="Q190" i="1" l="1"/>
  <c r="B92" i="4"/>
  <c r="M175" i="1"/>
  <c r="O176" i="1" s="1"/>
  <c r="B90" i="4" s="1"/>
  <c r="B101" i="4" l="1"/>
  <c r="Q197" i="1"/>
  <c r="J249" i="3"/>
  <c r="H21" i="1"/>
  <c r="P185" i="1" s="1"/>
  <c r="B96" i="4" s="1"/>
  <c r="J253" i="3" l="1"/>
  <c r="B106" i="4"/>
  <c r="Q183" i="1"/>
  <c r="L203" i="3" l="1"/>
  <c r="B93" i="4"/>
</calcChain>
</file>

<file path=xl/sharedStrings.xml><?xml version="1.0" encoding="utf-8"?>
<sst xmlns="http://schemas.openxmlformats.org/spreadsheetml/2006/main" count="779" uniqueCount="569">
  <si>
    <t>P</t>
  </si>
  <si>
    <t>Ea</t>
  </si>
  <si>
    <t>C</t>
  </si>
  <si>
    <t>وزن القنبلة كغ</t>
  </si>
  <si>
    <t>وزن الحشوة الى قطرها</t>
  </si>
  <si>
    <t>نسبة طول الرأس الحربي للقطر</t>
  </si>
  <si>
    <t>معامل الاختراق للتربة</t>
  </si>
  <si>
    <t>α</t>
  </si>
  <si>
    <t>المعطيات الأساسية</t>
  </si>
  <si>
    <t>عامل متعلق بنوع بلاطة الحماية(جدول1)</t>
  </si>
  <si>
    <r>
      <rPr>
        <b/>
        <sz val="16"/>
        <color theme="1"/>
        <rFont val="Times New Roman"/>
        <family val="1"/>
      </rPr>
      <t xml:space="preserve">                                                                                                                                                                                                           ; h</t>
    </r>
    <r>
      <rPr>
        <sz val="12"/>
        <color theme="1"/>
        <rFont val="Times New Roman"/>
        <family val="2"/>
      </rPr>
      <t xml:space="preserve">t = </t>
    </r>
    <r>
      <rPr>
        <b/>
        <sz val="16"/>
        <color theme="1"/>
        <rFont val="Times New Roman"/>
        <family val="1"/>
      </rPr>
      <t>n</t>
    </r>
    <r>
      <rPr>
        <sz val="9"/>
        <color theme="1"/>
        <rFont val="Times New Roman"/>
        <family val="1"/>
      </rPr>
      <t>0</t>
    </r>
    <r>
      <rPr>
        <b/>
        <sz val="16"/>
        <color theme="1"/>
        <rFont val="Times New Roman"/>
        <family val="1"/>
      </rPr>
      <t>(r</t>
    </r>
    <r>
      <rPr>
        <sz val="12"/>
        <color theme="1"/>
        <rFont val="Times New Roman"/>
        <family val="1"/>
      </rPr>
      <t>вt</t>
    </r>
    <r>
      <rPr>
        <sz val="12"/>
        <color theme="1"/>
        <rFont val="Times New Roman"/>
        <family val="2"/>
      </rPr>
      <t xml:space="preserve"> -</t>
    </r>
    <r>
      <rPr>
        <b/>
        <sz val="16"/>
        <color theme="1"/>
        <rFont val="Times New Roman"/>
        <family val="1"/>
      </rPr>
      <t xml:space="preserve"> ц</t>
    </r>
    <r>
      <rPr>
        <b/>
        <sz val="12"/>
        <color theme="1"/>
        <rFont val="Times New Roman"/>
        <family val="1"/>
      </rPr>
      <t>)</t>
    </r>
  </si>
  <si>
    <t>يجب املاء جدول المعطيات الرئيسية</t>
  </si>
  <si>
    <t>اذا كان lᴈ/dᴈ اكبر من 3 فالحشوة متطاولة وإلا فالحشوة مجمعة</t>
  </si>
  <si>
    <t>Cэф1= Cэф/lᴈ</t>
  </si>
  <si>
    <r>
      <t>lᴈ=dᴈ*(lᴈ/dᴈ)=0.95d</t>
    </r>
    <r>
      <rPr>
        <sz val="10"/>
        <color theme="1"/>
        <rFont val="Times New Roman"/>
        <family val="1"/>
      </rPr>
      <t>k</t>
    </r>
    <r>
      <rPr>
        <sz val="12"/>
        <color theme="1"/>
        <rFont val="Times New Roman"/>
        <family val="2"/>
      </rPr>
      <t>*(lᴈ/dᴈ)</t>
    </r>
  </si>
  <si>
    <t>نصف قطر جسم القنبلة, م</t>
  </si>
  <si>
    <t>زاوية سقوط القنبلة, درجة</t>
  </si>
  <si>
    <t>السرع الابتدائية لسقوط القنبلة, م/ث</t>
  </si>
  <si>
    <t>سماكة طبقة التمويه فوق البلاطة, م</t>
  </si>
  <si>
    <t>وزن الحشوة في القنبلة, كغ</t>
  </si>
  <si>
    <t>ارتفاع السقف, م</t>
  </si>
  <si>
    <t>المجاز الطويل, م</t>
  </si>
  <si>
    <t>المجاز القصير, م</t>
  </si>
  <si>
    <t>طول جسم القنبلة, م</t>
  </si>
  <si>
    <t>طول القنبلة العام , م</t>
  </si>
  <si>
    <t>السماكة المبدأية للجدار الخارجي, م</t>
  </si>
  <si>
    <t>السماكة المبدأية للجدار الداخلي, م</t>
  </si>
  <si>
    <t>السماكة المبدأية للأرضية, م</t>
  </si>
  <si>
    <t>السماكة المبدأية للسقف, م</t>
  </si>
  <si>
    <t>الوزن الحجمي للبيتون, كغ/م3</t>
  </si>
  <si>
    <t>عامل قوة المادة المتفجرة في القنبلة نسبة للتراتيل</t>
  </si>
  <si>
    <t>Cэф= 0.95*k1*C</t>
  </si>
  <si>
    <r>
      <rPr>
        <b/>
        <sz val="16"/>
        <color rgb="FFFF0000"/>
        <rFont val="Times New Roman"/>
        <family val="1"/>
      </rPr>
      <t>m</t>
    </r>
    <r>
      <rPr>
        <b/>
        <sz val="16"/>
        <color theme="1"/>
        <rFont val="Times New Roman"/>
        <family val="1"/>
      </rPr>
      <t xml:space="preserve"> </t>
    </r>
    <r>
      <rPr>
        <sz val="12"/>
        <color theme="1"/>
        <rFont val="Times New Roman"/>
        <family val="2"/>
      </rPr>
      <t>: هو عامل الدكة وهو يساوي 1.1 عندما تكون  سماكة طبقة التمويه اكبر من 0.5 متر ويكون مساويا 1 عندما تكون اصغر او تساوي 0.5متر</t>
    </r>
  </si>
  <si>
    <r>
      <rPr>
        <b/>
        <sz val="16"/>
        <color rgb="FFFFFF00"/>
        <rFont val="Times New Roman"/>
        <family val="1"/>
      </rPr>
      <t>k</t>
    </r>
    <r>
      <rPr>
        <b/>
        <sz val="10"/>
        <color rgb="FFFFFF00"/>
        <rFont val="Times New Roman"/>
        <family val="1"/>
      </rPr>
      <t>1</t>
    </r>
    <r>
      <rPr>
        <b/>
        <sz val="10"/>
        <color theme="1"/>
        <rFont val="Times New Roman"/>
        <family val="1"/>
      </rPr>
      <t>: عامل يتعلق بنوع المواد المتفجرة وهو لل ت ن ت يساوي 1.639 اي اقوى من التراتيل بهذا المقدار</t>
    </r>
  </si>
  <si>
    <t>m</t>
  </si>
  <si>
    <t>عامل تصدع البيتون من الجهة المعاكسة للانفجار</t>
  </si>
  <si>
    <t>عامل تصدع التربة من الجهة المعاكسة للانفجار</t>
  </si>
  <si>
    <t>عامل يتعلقق بطبيعة جدار المنشأة</t>
  </si>
  <si>
    <t xml:space="preserve">عامل يتعلقق بطبيعة التربة المخترقة </t>
  </si>
  <si>
    <r>
      <t xml:space="preserve"> λ1= 0.5+0.4*(lгч/d)^</t>
    </r>
    <r>
      <rPr>
        <sz val="9"/>
        <color theme="1"/>
        <rFont val="Times New Roman"/>
        <family val="1"/>
      </rPr>
      <t>0.666</t>
    </r>
  </si>
  <si>
    <r>
      <t>λ2 = 2.8*{(d)^</t>
    </r>
    <r>
      <rPr>
        <sz val="10"/>
        <color theme="1"/>
        <rFont val="Times New Roman"/>
        <family val="1"/>
      </rPr>
      <t>0.33</t>
    </r>
    <r>
      <rPr>
        <sz val="12"/>
        <color theme="1"/>
        <rFont val="Times New Roman"/>
        <family val="2"/>
      </rPr>
      <t>}-1.3*{(d)^</t>
    </r>
    <r>
      <rPr>
        <sz val="10"/>
        <color theme="1"/>
        <rFont val="Times New Roman"/>
        <family val="1"/>
      </rPr>
      <t>0.5</t>
    </r>
    <r>
      <rPr>
        <sz val="12"/>
        <color theme="1"/>
        <rFont val="Times New Roman"/>
        <family val="2"/>
      </rPr>
      <t>}</t>
    </r>
  </si>
  <si>
    <r>
      <t xml:space="preserve">للقنابل الغير الموجهة V تساوي 250-300 م/ثا  اما </t>
    </r>
    <r>
      <rPr>
        <sz val="12"/>
        <color theme="1"/>
        <rFont val="Times New Roman"/>
        <family val="1"/>
      </rPr>
      <t>α</t>
    </r>
    <r>
      <rPr>
        <sz val="12"/>
        <color theme="1"/>
        <rFont val="Times New Roman"/>
        <family val="2"/>
      </rPr>
      <t xml:space="preserve"> فتساوي 20-30 درجة</t>
    </r>
  </si>
  <si>
    <t>اما للقنابل الموجهة فحسب الجدول</t>
  </si>
  <si>
    <t>V</t>
  </si>
  <si>
    <t>300-400</t>
  </si>
  <si>
    <t>400-600</t>
  </si>
  <si>
    <t>790-940</t>
  </si>
  <si>
    <t>25-40</t>
  </si>
  <si>
    <t>30-45</t>
  </si>
  <si>
    <t>40-60</t>
  </si>
  <si>
    <t>للصواريخ</t>
  </si>
  <si>
    <t xml:space="preserve"> درجة,α</t>
  </si>
  <si>
    <t xml:space="preserve"> م/ثا ,V</t>
  </si>
  <si>
    <t>حساب الحمولات على السقف</t>
  </si>
  <si>
    <r>
      <t>حساب التوتر الاعظمي في موجة الضغط maxб</t>
    </r>
    <r>
      <rPr>
        <b/>
        <sz val="10"/>
        <color theme="1"/>
        <rFont val="Times New Roman"/>
        <family val="1"/>
      </rPr>
      <t>в</t>
    </r>
  </si>
  <si>
    <r>
      <t xml:space="preserve">                                                          maxбв=A*(R</t>
    </r>
    <r>
      <rPr>
        <sz val="12"/>
        <color theme="1"/>
        <rFont val="Times New Roman"/>
        <family val="1"/>
      </rPr>
      <t>־)^</t>
    </r>
    <r>
      <rPr>
        <sz val="9"/>
        <color theme="1"/>
        <rFont val="Times New Roman"/>
        <family val="1"/>
      </rPr>
      <t>-n1</t>
    </r>
  </si>
  <si>
    <r>
      <t xml:space="preserve">                                                          maxбв=0.6*m*A*(R</t>
    </r>
    <r>
      <rPr>
        <sz val="12"/>
        <color theme="1"/>
        <rFont val="Times New Roman"/>
        <family val="1"/>
      </rPr>
      <t>־)^</t>
    </r>
    <r>
      <rPr>
        <sz val="9"/>
        <color theme="1"/>
        <rFont val="Times New Roman"/>
        <family val="1"/>
      </rPr>
      <t>-n1</t>
    </r>
  </si>
  <si>
    <r>
      <t>if h</t>
    </r>
    <r>
      <rPr>
        <sz val="12"/>
        <color theme="1"/>
        <rFont val="Times New Roman"/>
        <family val="1"/>
      </rPr>
      <t>־ᴈ</t>
    </r>
    <r>
      <rPr>
        <sz val="12"/>
        <color theme="1"/>
        <rFont val="Times New Roman"/>
        <family val="2"/>
      </rPr>
      <t xml:space="preserve"> &gt;= 0.7</t>
    </r>
  </si>
  <si>
    <r>
      <t>if h</t>
    </r>
    <r>
      <rPr>
        <sz val="12"/>
        <color theme="1"/>
        <rFont val="Times New Roman"/>
        <family val="1"/>
      </rPr>
      <t>־ᴈ</t>
    </r>
    <r>
      <rPr>
        <sz val="12"/>
        <color theme="1"/>
        <rFont val="Times New Roman"/>
        <family val="2"/>
      </rPr>
      <t xml:space="preserve"> &lt; 0.7</t>
    </r>
  </si>
  <si>
    <r>
      <t>h־ᴈ =h</t>
    </r>
    <r>
      <rPr>
        <sz val="12"/>
        <color theme="1"/>
        <rFont val="Times New Roman"/>
        <family val="1"/>
      </rPr>
      <t>ᴈ</t>
    </r>
    <r>
      <rPr>
        <sz val="12"/>
        <color theme="1"/>
        <rFont val="Times New Roman"/>
        <family val="2"/>
      </rPr>
      <t>/(C</t>
    </r>
    <r>
      <rPr>
        <sz val="12"/>
        <color theme="1"/>
        <rFont val="Times New Roman"/>
        <family val="1"/>
      </rPr>
      <t>эф</t>
    </r>
    <r>
      <rPr>
        <sz val="12"/>
        <color theme="1"/>
        <rFont val="Times New Roman"/>
        <family val="2"/>
      </rPr>
      <t>)^</t>
    </r>
    <r>
      <rPr>
        <sz val="9"/>
        <color theme="1"/>
        <rFont val="Times New Roman"/>
        <family val="1"/>
      </rPr>
      <t>0.333</t>
    </r>
    <r>
      <rPr>
        <sz val="12"/>
        <color theme="1"/>
        <rFont val="Times New Roman"/>
        <family val="2"/>
      </rPr>
      <t xml:space="preserve"> </t>
    </r>
  </si>
  <si>
    <r>
      <t>R־=R</t>
    </r>
    <r>
      <rPr>
        <sz val="12"/>
        <color theme="1"/>
        <rFont val="Times New Roman"/>
        <family val="1"/>
      </rPr>
      <t>эkв/(Cэф)^</t>
    </r>
    <r>
      <rPr>
        <sz val="10"/>
        <color theme="1"/>
        <rFont val="Times New Roman"/>
        <family val="1"/>
      </rPr>
      <t>0.333</t>
    </r>
  </si>
  <si>
    <t xml:space="preserve"> </t>
  </si>
  <si>
    <t>وتحديد نوع الموجة</t>
  </si>
  <si>
    <t>A</t>
  </si>
  <si>
    <t>معامل تدمير طبقة توزيع الضغط</t>
  </si>
  <si>
    <t>Kt.п</t>
  </si>
  <si>
    <t>عامل متعلق ب (־hᴈ) للسقف</t>
  </si>
  <si>
    <t xml:space="preserve">متعلق بتربة توزيع الضغط وتوضع قيمتها لاحقا بعد حساب ᴈ־hمن الفقرة5.1 </t>
  </si>
  <si>
    <t>kg/cm2</t>
  </si>
  <si>
    <t>maxбв=</t>
  </si>
  <si>
    <t>تقييم طبيعة الموجة</t>
  </si>
  <si>
    <t>Rэkв  &gt; ٭R  , الشرط محقق</t>
  </si>
  <si>
    <t xml:space="preserve"> Rэkв &lt; ٭R,الشرط غير محقق </t>
  </si>
  <si>
    <r>
      <t>حساب الزمن الفعال لتأثير الموجة (</t>
    </r>
    <r>
      <rPr>
        <b/>
        <sz val="14"/>
        <color theme="1"/>
        <rFont val="Times New Roman"/>
        <family val="1"/>
      </rPr>
      <t>τ</t>
    </r>
    <r>
      <rPr>
        <b/>
        <sz val="10"/>
        <color theme="1"/>
        <rFont val="Times New Roman"/>
        <family val="1"/>
      </rPr>
      <t>эф</t>
    </r>
    <r>
      <rPr>
        <b/>
        <sz val="11"/>
        <color theme="1"/>
        <rFont val="Times New Roman"/>
        <family val="1"/>
      </rPr>
      <t>)</t>
    </r>
  </si>
  <si>
    <r>
      <t>حساب الزمن الكلي لتأثير الموجة (</t>
    </r>
    <r>
      <rPr>
        <b/>
        <sz val="14"/>
        <color theme="1"/>
        <rFont val="Times New Roman"/>
        <family val="1"/>
      </rPr>
      <t>τ</t>
    </r>
    <r>
      <rPr>
        <b/>
        <sz val="11"/>
        <color theme="1"/>
        <rFont val="Times New Roman"/>
        <family val="1"/>
      </rPr>
      <t>)</t>
    </r>
  </si>
  <si>
    <r>
      <rPr>
        <sz val="16"/>
        <color theme="1"/>
        <rFont val="Times New Roman"/>
        <family val="1"/>
      </rPr>
      <t>τ</t>
    </r>
    <r>
      <rPr>
        <sz val="12"/>
        <color theme="1"/>
        <rFont val="Times New Roman"/>
        <family val="1"/>
      </rPr>
      <t xml:space="preserve"> </t>
    </r>
    <r>
      <rPr>
        <sz val="12"/>
        <color theme="1"/>
        <rFont val="Times New Roman"/>
        <family val="2"/>
      </rPr>
      <t xml:space="preserve">= </t>
    </r>
    <r>
      <rPr>
        <sz val="12"/>
        <color theme="1"/>
        <rFont val="Times New Roman"/>
        <family val="1"/>
      </rPr>
      <t>μ</t>
    </r>
    <r>
      <rPr>
        <sz val="12"/>
        <color theme="1"/>
        <rFont val="Times New Roman"/>
        <family val="2"/>
      </rPr>
      <t>(Cэф)^</t>
    </r>
    <r>
      <rPr>
        <sz val="9"/>
        <color theme="1"/>
        <rFont val="Times New Roman"/>
        <family val="1"/>
      </rPr>
      <t>0.333</t>
    </r>
    <r>
      <rPr>
        <sz val="12"/>
        <color theme="1"/>
        <rFont val="Times New Roman"/>
        <family val="2"/>
      </rPr>
      <t xml:space="preserve"> + </t>
    </r>
    <r>
      <rPr>
        <sz val="12"/>
        <color theme="1"/>
        <rFont val="Times New Roman"/>
        <family val="1"/>
      </rPr>
      <t>η.Rэkв</t>
    </r>
  </si>
  <si>
    <t>0.375 &gt;= R־</t>
  </si>
  <si>
    <t>0.375 &lt; R־</t>
  </si>
  <si>
    <t>τ =</t>
  </si>
  <si>
    <t>τэф/τ</t>
  </si>
  <si>
    <t>maxбв</t>
  </si>
  <si>
    <t>τэф = τ*(0.0008*((maxбв)^2)-0.0384*maxбв +1.0013)</t>
  </si>
  <si>
    <r>
      <t xml:space="preserve">حساب الزمن التصاعدي لقيمة الضغط في الموجة </t>
    </r>
    <r>
      <rPr>
        <b/>
        <sz val="16"/>
        <color theme="1"/>
        <rFont val="Times New Roman"/>
        <family val="1"/>
      </rPr>
      <t>τ</t>
    </r>
    <r>
      <rPr>
        <b/>
        <sz val="12"/>
        <color theme="1"/>
        <rFont val="Times New Roman"/>
        <family val="1"/>
      </rPr>
      <t>н</t>
    </r>
  </si>
  <si>
    <r>
      <rPr>
        <b/>
        <sz val="16"/>
        <color theme="1"/>
        <rFont val="Times New Roman"/>
        <family val="1"/>
      </rPr>
      <t>τ</t>
    </r>
    <r>
      <rPr>
        <sz val="12"/>
        <color theme="1"/>
        <rFont val="Times New Roman"/>
        <family val="1"/>
      </rPr>
      <t>н</t>
    </r>
    <r>
      <rPr>
        <sz val="12"/>
        <color theme="1"/>
        <rFont val="Times New Roman"/>
        <family val="2"/>
      </rPr>
      <t xml:space="preserve"> ={(</t>
    </r>
    <r>
      <rPr>
        <sz val="14"/>
        <color theme="1"/>
        <rFont val="Times New Roman"/>
        <family val="1"/>
      </rPr>
      <t>a</t>
    </r>
    <r>
      <rPr>
        <sz val="9"/>
        <color theme="1"/>
        <rFont val="Times New Roman"/>
        <family val="1"/>
      </rPr>
      <t>0cp</t>
    </r>
    <r>
      <rPr>
        <sz val="12"/>
        <color theme="1"/>
        <rFont val="Times New Roman"/>
        <family val="2"/>
      </rPr>
      <t xml:space="preserve"> -</t>
    </r>
    <r>
      <rPr>
        <sz val="16"/>
        <color theme="1"/>
        <rFont val="Times New Roman"/>
        <family val="1"/>
      </rPr>
      <t>a</t>
    </r>
    <r>
      <rPr>
        <sz val="9"/>
        <color theme="1"/>
        <rFont val="Times New Roman"/>
        <family val="1"/>
      </rPr>
      <t>1cp</t>
    </r>
    <r>
      <rPr>
        <sz val="12"/>
        <color theme="1"/>
        <rFont val="Times New Roman"/>
        <family val="2"/>
      </rPr>
      <t>)/(</t>
    </r>
    <r>
      <rPr>
        <sz val="16"/>
        <color theme="1"/>
        <rFont val="Times New Roman"/>
        <family val="1"/>
      </rPr>
      <t>a</t>
    </r>
    <r>
      <rPr>
        <sz val="9"/>
        <color theme="1"/>
        <rFont val="Times New Roman"/>
        <family val="1"/>
      </rPr>
      <t>0cp</t>
    </r>
    <r>
      <rPr>
        <sz val="12"/>
        <color theme="1"/>
        <rFont val="Times New Roman"/>
        <family val="2"/>
      </rPr>
      <t>*</t>
    </r>
    <r>
      <rPr>
        <sz val="16"/>
        <color theme="1"/>
        <rFont val="Times New Roman"/>
        <family val="1"/>
      </rPr>
      <t>a</t>
    </r>
    <r>
      <rPr>
        <sz val="9"/>
        <color theme="1"/>
        <rFont val="Times New Roman"/>
        <family val="1"/>
      </rPr>
      <t>1cp</t>
    </r>
    <r>
      <rPr>
        <sz val="12"/>
        <color theme="1"/>
        <rFont val="Times New Roman"/>
        <family val="2"/>
      </rPr>
      <t>)}*{</t>
    </r>
    <r>
      <rPr>
        <sz val="16"/>
        <color theme="1"/>
        <rFont val="Times New Roman"/>
        <family val="1"/>
      </rPr>
      <t>R</t>
    </r>
    <r>
      <rPr>
        <sz val="9"/>
        <color theme="1"/>
        <rFont val="Times New Roman"/>
        <family val="1"/>
      </rPr>
      <t>экв</t>
    </r>
    <r>
      <rPr>
        <sz val="12"/>
        <color theme="1"/>
        <rFont val="Times New Roman"/>
        <family val="1"/>
      </rPr>
      <t>-</t>
    </r>
    <r>
      <rPr>
        <sz val="16"/>
        <color theme="1"/>
        <rFont val="Times New Roman"/>
        <family val="1"/>
      </rPr>
      <t>R</t>
    </r>
    <r>
      <rPr>
        <sz val="12"/>
        <color theme="1"/>
        <rFont val="Times New Roman"/>
        <family val="1"/>
      </rPr>
      <t>٭}</t>
    </r>
  </si>
  <si>
    <t>عمق توضع السقف</t>
  </si>
  <si>
    <t>a0cp = (a0 + a0z)/2</t>
  </si>
  <si>
    <t>a1cp = (a1 + a1z)/2</t>
  </si>
  <si>
    <t>بناء على قيمة (a0) وقيمة (Zп) من الرسم ص76 نجد قيمة (a0z) ونفس الكلام بالنسبة ل(a1z)</t>
  </si>
  <si>
    <t>m/s</t>
  </si>
  <si>
    <t>يوضع بعد حسابات 5.5</t>
  </si>
  <si>
    <t>s</t>
  </si>
  <si>
    <r>
      <t xml:space="preserve">حساب قيمة التواتر(الاهتزاز) </t>
    </r>
    <r>
      <rPr>
        <b/>
        <sz val="16"/>
        <color theme="1"/>
        <rFont val="Times New Roman"/>
        <family val="1"/>
      </rPr>
      <t>ω</t>
    </r>
  </si>
  <si>
    <r>
      <t>C=9.87*(1+(</t>
    </r>
    <r>
      <rPr>
        <sz val="12"/>
        <color theme="1"/>
        <rFont val="Times New Roman"/>
        <family val="1"/>
      </rPr>
      <t>η</t>
    </r>
    <r>
      <rPr>
        <sz val="12"/>
        <color theme="1"/>
        <rFont val="Times New Roman"/>
        <family val="2"/>
      </rPr>
      <t>)^2)</t>
    </r>
  </si>
  <si>
    <t>تمفصل</t>
  </si>
  <si>
    <t>وثاقة</t>
  </si>
  <si>
    <r>
      <t>C=22.37*{1+0.6*(</t>
    </r>
    <r>
      <rPr>
        <sz val="12"/>
        <color theme="1"/>
        <rFont val="Times New Roman"/>
        <family val="1"/>
      </rPr>
      <t>η</t>
    </r>
    <r>
      <rPr>
        <sz val="12"/>
        <color theme="1"/>
        <rFont val="Times New Roman"/>
        <family val="2"/>
      </rPr>
      <t>)^2 +(</t>
    </r>
    <r>
      <rPr>
        <sz val="12"/>
        <color theme="1"/>
        <rFont val="Times New Roman"/>
        <family val="1"/>
      </rPr>
      <t>η)</t>
    </r>
    <r>
      <rPr>
        <sz val="12"/>
        <color theme="1"/>
        <rFont val="Times New Roman"/>
        <family val="2"/>
      </rPr>
      <t>^4}^0.5</t>
    </r>
  </si>
  <si>
    <r>
      <rPr>
        <sz val="12"/>
        <color theme="1"/>
        <rFont val="Times New Roman"/>
        <family val="1"/>
      </rPr>
      <t>η</t>
    </r>
    <r>
      <rPr>
        <sz val="12"/>
        <color theme="1"/>
        <rFont val="Times New Roman"/>
        <family val="2"/>
      </rPr>
      <t>=bp/ap</t>
    </r>
  </si>
  <si>
    <t>ص85</t>
  </si>
  <si>
    <t>ψп</t>
  </si>
  <si>
    <r>
      <t>h0= H</t>
    </r>
    <r>
      <rPr>
        <sz val="12"/>
        <color theme="1"/>
        <rFont val="Times New Roman"/>
        <family val="1"/>
      </rPr>
      <t>п</t>
    </r>
    <r>
      <rPr>
        <sz val="12"/>
        <color theme="1"/>
        <rFont val="Times New Roman"/>
        <family val="2"/>
      </rPr>
      <t>-5cm</t>
    </r>
  </si>
  <si>
    <r>
      <t>Fa.s =100cm*h0cm*</t>
    </r>
    <r>
      <rPr>
        <sz val="12"/>
        <color theme="1"/>
        <rFont val="Times New Roman"/>
        <family val="1"/>
      </rPr>
      <t>ψ</t>
    </r>
  </si>
  <si>
    <t>ω={(1/ap)^2}*C*μ*{(B/me.д)^0.5}</t>
  </si>
  <si>
    <t>السقف مع الجدار</t>
  </si>
  <si>
    <t>وثاقة(1), متمفصل(2)</t>
  </si>
  <si>
    <t>μ=f(Hп/ap)</t>
  </si>
  <si>
    <t>C =</t>
  </si>
  <si>
    <t>مقاومة الحديد كغ/سم2</t>
  </si>
  <si>
    <t>مقاومة البيتون كغ/سم2</t>
  </si>
  <si>
    <r>
      <t>Rsd=Rs</t>
    </r>
    <r>
      <rPr>
        <sz val="8"/>
        <color theme="1"/>
        <rFont val="Times New Roman"/>
        <family val="1"/>
      </rPr>
      <t>H</t>
    </r>
    <r>
      <rPr>
        <sz val="12"/>
        <color theme="1"/>
        <rFont val="Times New Roman"/>
        <family val="2"/>
      </rPr>
      <t>*1.05*K</t>
    </r>
    <r>
      <rPr>
        <sz val="12"/>
        <color theme="1"/>
        <rFont val="Times New Roman"/>
        <family val="1"/>
      </rPr>
      <t>пοд</t>
    </r>
  </si>
  <si>
    <r>
      <t>Rbd=Rb</t>
    </r>
    <r>
      <rPr>
        <sz val="8"/>
        <color theme="1"/>
        <rFont val="Times New Roman"/>
        <family val="1"/>
      </rPr>
      <t>H</t>
    </r>
    <r>
      <rPr>
        <sz val="12"/>
        <color theme="1"/>
        <rFont val="Times New Roman"/>
        <family val="2"/>
      </rPr>
      <t>*Kпοд</t>
    </r>
  </si>
  <si>
    <t>وزن حجمي لتربة الجدار, كغ/م3</t>
  </si>
  <si>
    <t>الوزن الحجمي لطبقة التمويه, كغ/م3</t>
  </si>
  <si>
    <t>الوزن الحجمي لطبقة توزيع الضغط, كغ/م3</t>
  </si>
  <si>
    <t>μ= -1.255(Hп/ap)+1.1215</t>
  </si>
  <si>
    <t>τэф=</t>
  </si>
  <si>
    <t>0.2π/ω=</t>
  </si>
  <si>
    <t>التأكد من تحقيق الشرط  τэф&gt;=0.2π/ω</t>
  </si>
  <si>
    <t>حساب الحمولة الاعظمية  Pmax</t>
  </si>
  <si>
    <r>
      <t>Pmax = 2*K</t>
    </r>
    <r>
      <rPr>
        <sz val="12"/>
        <color theme="1"/>
        <rFont val="Times New Roman"/>
        <family val="1"/>
      </rPr>
      <t>п</t>
    </r>
    <r>
      <rPr>
        <sz val="12"/>
        <color theme="1"/>
        <rFont val="Times New Roman"/>
        <family val="2"/>
      </rPr>
      <t>*max</t>
    </r>
    <r>
      <rPr>
        <sz val="12"/>
        <color theme="1"/>
        <rFont val="Times New Roman"/>
        <family val="1"/>
      </rPr>
      <t>бв</t>
    </r>
  </si>
  <si>
    <t>λ=</t>
  </si>
  <si>
    <t>Fпοk =</t>
  </si>
  <si>
    <t>طول المنشأة,م</t>
  </si>
  <si>
    <t>عرض المنشأة,م</t>
  </si>
  <si>
    <t>m2</t>
  </si>
  <si>
    <t>وزن المنشأة ,طن</t>
  </si>
  <si>
    <t>يوضع بعد حسابات 5.7</t>
  </si>
  <si>
    <t>حساب الحمولة المكافئة    Pэкв</t>
  </si>
  <si>
    <r>
      <t>Pэкв= k</t>
    </r>
    <r>
      <rPr>
        <sz val="12"/>
        <color theme="1"/>
        <rFont val="Times New Roman"/>
        <family val="1"/>
      </rPr>
      <t>д</t>
    </r>
    <r>
      <rPr>
        <sz val="12"/>
        <color theme="1"/>
        <rFont val="Times New Roman"/>
        <family val="2"/>
      </rPr>
      <t>*k</t>
    </r>
    <r>
      <rPr>
        <sz val="12"/>
        <color theme="1"/>
        <rFont val="Times New Roman"/>
        <family val="1"/>
      </rPr>
      <t>ψ</t>
    </r>
    <r>
      <rPr>
        <sz val="12"/>
        <color theme="1"/>
        <rFont val="Times New Roman"/>
        <family val="2"/>
      </rPr>
      <t>*Pmax</t>
    </r>
  </si>
  <si>
    <r>
      <t>kд=f(</t>
    </r>
    <r>
      <rPr>
        <sz val="14"/>
        <color theme="1"/>
        <rFont val="Times New Roman"/>
        <family val="1"/>
      </rPr>
      <t>ω</t>
    </r>
    <r>
      <rPr>
        <sz val="12"/>
        <color theme="1"/>
        <rFont val="Times New Roman"/>
        <family val="1"/>
      </rPr>
      <t>.</t>
    </r>
    <r>
      <rPr>
        <sz val="14"/>
        <color theme="1"/>
        <rFont val="Times New Roman"/>
        <family val="1"/>
      </rPr>
      <t>τ</t>
    </r>
    <r>
      <rPr>
        <sz val="10"/>
        <color theme="1"/>
        <rFont val="Times New Roman"/>
        <family val="1"/>
      </rPr>
      <t>н</t>
    </r>
    <r>
      <rPr>
        <sz val="12"/>
        <color theme="1"/>
        <rFont val="Times New Roman"/>
        <family val="2"/>
      </rPr>
      <t>)</t>
    </r>
  </si>
  <si>
    <t>kψ=0.9</t>
  </si>
  <si>
    <r>
      <rPr>
        <sz val="14"/>
        <color theme="1"/>
        <rFont val="Times New Roman"/>
        <family val="1"/>
      </rPr>
      <t>ω</t>
    </r>
    <r>
      <rPr>
        <sz val="12"/>
        <color theme="1"/>
        <rFont val="Times New Roman"/>
        <family val="1"/>
      </rPr>
      <t>.</t>
    </r>
    <r>
      <rPr>
        <sz val="14"/>
        <color theme="1"/>
        <rFont val="Times New Roman"/>
        <family val="1"/>
      </rPr>
      <t>τ</t>
    </r>
    <r>
      <rPr>
        <sz val="10"/>
        <color theme="1"/>
        <rFont val="Times New Roman"/>
        <family val="1"/>
      </rPr>
      <t>н =</t>
    </r>
  </si>
  <si>
    <t>من ص 83 عند K=3</t>
  </si>
  <si>
    <t>معاما الديناميك يوضع بعد حسابات 5.9</t>
  </si>
  <si>
    <r>
      <t>حساب الحمولة الحسابية P</t>
    </r>
    <r>
      <rPr>
        <b/>
        <sz val="10"/>
        <color theme="1"/>
        <rFont val="Times New Roman"/>
        <family val="1"/>
      </rPr>
      <t>p</t>
    </r>
    <r>
      <rPr>
        <b/>
        <sz val="12"/>
        <color theme="1"/>
        <rFont val="Times New Roman"/>
        <family val="1"/>
      </rPr>
      <t xml:space="preserve"> </t>
    </r>
  </si>
  <si>
    <t>Pp = Pэкв+Pct</t>
  </si>
  <si>
    <t>جدول رقم 2</t>
  </si>
  <si>
    <t>جدول رقم3</t>
  </si>
  <si>
    <t>نوع المادة المتفجرة</t>
  </si>
  <si>
    <t>تريتونال 80-20</t>
  </si>
  <si>
    <t>خليط v</t>
  </si>
  <si>
    <t>تورليكس H6</t>
  </si>
  <si>
    <t>تريتونال 90/40</t>
  </si>
  <si>
    <t>ايدنالود</t>
  </si>
  <si>
    <t>V=</t>
  </si>
  <si>
    <t>α=</t>
  </si>
  <si>
    <t>K1=</t>
  </si>
  <si>
    <t>5,10</t>
  </si>
  <si>
    <t>عامل متعلق بالتربة حول الجدار</t>
  </si>
  <si>
    <t xml:space="preserve">متعلق بتربة  الجداروتوضع قيمتها لاحقا بعد حساب ᴈ־hمن الفقرة6.2 </t>
  </si>
  <si>
    <t>عامل متعلق ب (־hᴈ) للجدار</t>
  </si>
  <si>
    <t>μc</t>
  </si>
  <si>
    <t>ηc</t>
  </si>
  <si>
    <t>يوضع بعد حسابات 8.5</t>
  </si>
  <si>
    <t>للسقف</t>
  </si>
  <si>
    <t>للجدار</t>
  </si>
  <si>
    <t>ξ</t>
  </si>
  <si>
    <r>
      <t>B</t>
    </r>
    <r>
      <rPr>
        <sz val="10"/>
        <color theme="1"/>
        <rFont val="Times New Roman"/>
        <family val="1"/>
      </rPr>
      <t>k</t>
    </r>
  </si>
  <si>
    <r>
      <t>mc = Pk*1.15*1000/F</t>
    </r>
    <r>
      <rPr>
        <sz val="12"/>
        <color theme="1"/>
        <rFont val="Times New Roman"/>
        <family val="1"/>
      </rPr>
      <t>пοk</t>
    </r>
  </si>
  <si>
    <t>Kп,п</t>
  </si>
  <si>
    <t>Kп,c</t>
  </si>
  <si>
    <t>يوضع بعد حسابات 8.7</t>
  </si>
  <si>
    <t>Kд,п</t>
  </si>
  <si>
    <t>Kд,c</t>
  </si>
  <si>
    <t>معاما الديناميك يوضع بعد حسابات.8.9</t>
  </si>
  <si>
    <t>نسبة تسليح البيتون مساحيا</t>
  </si>
  <si>
    <t>عامل التدمير لبيتون يلاطة الحماية</t>
  </si>
  <si>
    <t>عامل التدمير للتربة حول الجدار</t>
  </si>
  <si>
    <t>عامل متعلق بتربة توزيع الضغط</t>
  </si>
  <si>
    <t>عامل مرونة الحديد,كغ/سم2</t>
  </si>
  <si>
    <t>معامل الضغط الجانبي لتربة الجدار</t>
  </si>
  <si>
    <t>للسقف/بيتون</t>
  </si>
  <si>
    <t>للسقف/حديد</t>
  </si>
  <si>
    <t>للجدار/بيتون</t>
  </si>
  <si>
    <t>للجدار/حديد</t>
  </si>
  <si>
    <t>ادخل المعطيات الاساسية بعد النظر الى الجداول والرسوم وضع قيم هذه المعطيات في المربعات المخصصة باللون الاحمر</t>
  </si>
  <si>
    <t>A-1</t>
  </si>
  <si>
    <t>نوع القنبلة</t>
  </si>
  <si>
    <t>عياره(فونت)</t>
  </si>
  <si>
    <t>الوزن,كغ</t>
  </si>
  <si>
    <t xml:space="preserve">الطول العام, م </t>
  </si>
  <si>
    <t>طول الهيكل, م</t>
  </si>
  <si>
    <t>قطر الهيكل,م</t>
  </si>
  <si>
    <t>نسبة طول الحشوة الى قطر الهيكل</t>
  </si>
  <si>
    <t xml:space="preserve">نسبة طول الرأس الحربي الى القطر </t>
  </si>
  <si>
    <t>وزن المواد المتفجرة, كغ</t>
  </si>
  <si>
    <t>الترميز</t>
  </si>
  <si>
    <t>_</t>
  </si>
  <si>
    <r>
      <t>l</t>
    </r>
    <r>
      <rPr>
        <b/>
        <sz val="9"/>
        <color theme="1"/>
        <rFont val="Times New Roman"/>
        <family val="1"/>
      </rPr>
      <t>гч</t>
    </r>
    <r>
      <rPr>
        <b/>
        <sz val="11"/>
        <color theme="1"/>
        <rFont val="Times New Roman"/>
        <family val="1"/>
      </rPr>
      <t>/d</t>
    </r>
    <r>
      <rPr>
        <b/>
        <sz val="9"/>
        <color theme="1"/>
        <rFont val="Times New Roman"/>
        <family val="1"/>
      </rPr>
      <t>k</t>
    </r>
  </si>
  <si>
    <r>
      <t>lᴈ/d</t>
    </r>
    <r>
      <rPr>
        <b/>
        <sz val="9"/>
        <color theme="1"/>
        <rFont val="Times New Roman"/>
        <family val="1"/>
      </rPr>
      <t>k</t>
    </r>
  </si>
  <si>
    <r>
      <t>d</t>
    </r>
    <r>
      <rPr>
        <b/>
        <sz val="9"/>
        <color theme="1"/>
        <rFont val="Times New Roman"/>
        <family val="1"/>
      </rPr>
      <t>k</t>
    </r>
  </si>
  <si>
    <r>
      <t>l</t>
    </r>
    <r>
      <rPr>
        <b/>
        <sz val="9"/>
        <color theme="1"/>
        <rFont val="Times New Roman"/>
        <family val="1"/>
      </rPr>
      <t>k</t>
    </r>
  </si>
  <si>
    <r>
      <t>l</t>
    </r>
    <r>
      <rPr>
        <b/>
        <sz val="9"/>
        <color theme="1"/>
        <rFont val="Times New Roman"/>
        <family val="1"/>
      </rPr>
      <t>oб</t>
    </r>
  </si>
  <si>
    <t>AN-M30A1</t>
  </si>
  <si>
    <t>AN-M57A1</t>
  </si>
  <si>
    <t>M117(M)</t>
  </si>
  <si>
    <t>AN-M65A1</t>
  </si>
  <si>
    <t>AN-M66A1</t>
  </si>
  <si>
    <t>AN-M64A1</t>
  </si>
  <si>
    <t>MK81</t>
  </si>
  <si>
    <t>MK82</t>
  </si>
  <si>
    <t>MK83</t>
  </si>
  <si>
    <t>MK84</t>
  </si>
  <si>
    <t>MK81 سنيكاي</t>
  </si>
  <si>
    <t>MK82 سنيكاي</t>
  </si>
  <si>
    <t>M117R</t>
  </si>
  <si>
    <t>تريتونال</t>
  </si>
  <si>
    <r>
      <rPr>
        <b/>
        <sz val="12"/>
        <color theme="1"/>
        <rFont val="Times New Roman"/>
        <family val="1"/>
      </rPr>
      <t>ملاحظة:</t>
    </r>
    <r>
      <rPr>
        <sz val="12"/>
        <color theme="1"/>
        <rFont val="Times New Roman"/>
        <family val="2"/>
      </rPr>
      <t xml:space="preserve"> اذا كانت القنيلة المطلوبة غير موجودة في الجدول يجب معرفة مواصفاتها ووضعها في المربعات الحمر</t>
    </r>
  </si>
  <si>
    <t>جدول 1</t>
  </si>
  <si>
    <t xml:space="preserve"> معامل المادة المتفجرة-K1</t>
  </si>
  <si>
    <t>جدول 3 يبين قوة المادة المتفجرة في القنبلة منسوبا الى التراتيل</t>
  </si>
  <si>
    <t>جدول رقم 5</t>
  </si>
  <si>
    <t>معامل الاختراق</t>
  </si>
  <si>
    <t>معامل التصدع من جهة الانفجار</t>
  </si>
  <si>
    <t>معامل التدمير</t>
  </si>
  <si>
    <t>معامل التصدع من الجهة المعاكسة</t>
  </si>
  <si>
    <t>نوع المادة</t>
  </si>
  <si>
    <t>Kпp</t>
  </si>
  <si>
    <t>Kв</t>
  </si>
  <si>
    <t>Kp</t>
  </si>
  <si>
    <t>Kot</t>
  </si>
  <si>
    <t>طين رخو مشبع بالماء</t>
  </si>
  <si>
    <t>طين متوسط الكثافة</t>
  </si>
  <si>
    <t>طبقة رمل مخلط بالشوائب</t>
  </si>
  <si>
    <t>طبقة من البلوك او الاحجارة المرصوفة</t>
  </si>
  <si>
    <t>طبقة بلوك او احجارة مرصوفة مع استخدام الاسمنت</t>
  </si>
  <si>
    <t>غرانيت او غنيس</t>
  </si>
  <si>
    <t>بيتون عادي مقاومة 170 kg/cm2</t>
  </si>
  <si>
    <t>بيتون عادي مقاومة 225 kg/cm2</t>
  </si>
  <si>
    <t>بيتون مسلح مقاومة 200 كغ/سم2</t>
  </si>
  <si>
    <t>بيتون مسلح مقاومة250-300 كغ/سم2</t>
  </si>
  <si>
    <t>مادة التربة الاساسية حول المنشأة</t>
  </si>
  <si>
    <t>جدول 5 يبين  معاملات خاصة بطبيعة سلوك الوسط الذي تخترقه القنبلة او تنفجر فيه</t>
  </si>
  <si>
    <t>جدول رقم 6</t>
  </si>
  <si>
    <t>n1</t>
  </si>
  <si>
    <t>نوع التربة</t>
  </si>
  <si>
    <t xml:space="preserve">رمل رخو او رمل مع شوائب </t>
  </si>
  <si>
    <t>2~3</t>
  </si>
  <si>
    <t>طين مع حجار</t>
  </si>
  <si>
    <t>جدول 6 يحدد قيمة عوامل تجريبية مطلوبة لتحديد قيمة الضغط الاعظمي</t>
  </si>
  <si>
    <t>طبقة طينية طبيعية مع وجود احجار في تشكيلها</t>
  </si>
  <si>
    <t>تربة رملية او كلسية</t>
  </si>
  <si>
    <t>الكثافة, كغ*ثا^2/م4</t>
  </si>
  <si>
    <t>سرعة انتشار الامواج الطولية المرنة,م/ثا</t>
  </si>
  <si>
    <t>النسبة</t>
  </si>
  <si>
    <t>معامل الضغط الجانبي</t>
  </si>
  <si>
    <t>ρ</t>
  </si>
  <si>
    <t>2.5 - 3</t>
  </si>
  <si>
    <t>0.4 - 0.5</t>
  </si>
  <si>
    <t>100 -150</t>
  </si>
  <si>
    <t>150 - 155</t>
  </si>
  <si>
    <t>160 - 165</t>
  </si>
  <si>
    <t>200 - 500</t>
  </si>
  <si>
    <t>0.35 - 0.4</t>
  </si>
  <si>
    <t>180 - 185</t>
  </si>
  <si>
    <t>400 - 600</t>
  </si>
  <si>
    <t>0.5 - 0.6</t>
  </si>
  <si>
    <t>195 -200</t>
  </si>
  <si>
    <t>500 - 800</t>
  </si>
  <si>
    <t>0.5 - 0.7</t>
  </si>
  <si>
    <t>جدول 7</t>
  </si>
  <si>
    <r>
      <rPr>
        <b/>
        <sz val="14"/>
        <color theme="1"/>
        <rFont val="Times New Roman"/>
        <family val="1"/>
      </rPr>
      <t>a</t>
    </r>
    <r>
      <rPr>
        <b/>
        <sz val="12"/>
        <color theme="1"/>
        <rFont val="Times New Roman"/>
        <family val="1"/>
      </rPr>
      <t>0</t>
    </r>
  </si>
  <si>
    <r>
      <rPr>
        <b/>
        <sz val="14"/>
        <color theme="1"/>
        <rFont val="Times New Roman"/>
        <family val="1"/>
      </rPr>
      <t>a</t>
    </r>
    <r>
      <rPr>
        <b/>
        <sz val="12"/>
        <color theme="1"/>
        <rFont val="Times New Roman"/>
        <family val="1"/>
      </rPr>
      <t>0/</t>
    </r>
    <r>
      <rPr>
        <b/>
        <sz val="14"/>
        <color theme="1"/>
        <rFont val="Times New Roman"/>
        <family val="1"/>
      </rPr>
      <t>a</t>
    </r>
    <r>
      <rPr>
        <b/>
        <sz val="12"/>
        <color theme="1"/>
        <rFont val="Times New Roman"/>
        <family val="1"/>
      </rPr>
      <t>1</t>
    </r>
  </si>
  <si>
    <t>كثافة طبقة توزيع الضغط</t>
  </si>
  <si>
    <t>كثافة التربة حول الجدار</t>
  </si>
  <si>
    <r>
      <t>K</t>
    </r>
    <r>
      <rPr>
        <sz val="12"/>
        <color theme="1"/>
        <rFont val="Times New Roman"/>
        <family val="1"/>
      </rPr>
      <t>п</t>
    </r>
    <r>
      <rPr>
        <sz val="12"/>
        <color theme="1"/>
        <rFont val="Times New Roman"/>
        <family val="2"/>
      </rPr>
      <t xml:space="preserve"> = f{</t>
    </r>
    <r>
      <rPr>
        <sz val="12"/>
        <color theme="1"/>
        <rFont val="Times New Roman"/>
        <family val="1"/>
      </rPr>
      <t>λ</t>
    </r>
    <r>
      <rPr>
        <sz val="12"/>
        <color theme="1"/>
        <rFont val="Times New Roman"/>
        <family val="2"/>
      </rPr>
      <t>=</t>
    </r>
    <r>
      <rPr>
        <sz val="14"/>
        <color theme="1"/>
        <rFont val="Times New Roman"/>
        <family val="1"/>
      </rPr>
      <t>m</t>
    </r>
    <r>
      <rPr>
        <sz val="12"/>
        <color theme="1"/>
        <rFont val="Times New Roman"/>
        <family val="2"/>
      </rPr>
      <t>c/2a1*</t>
    </r>
    <r>
      <rPr>
        <sz val="12"/>
        <color theme="1"/>
        <rFont val="Times New Roman"/>
        <family val="1"/>
      </rPr>
      <t>ρ</t>
    </r>
    <r>
      <rPr>
        <sz val="10"/>
        <color theme="1"/>
        <rFont val="Times New Roman"/>
        <family val="1"/>
      </rPr>
      <t>p.c*</t>
    </r>
    <r>
      <rPr>
        <b/>
        <sz val="14"/>
        <color theme="1"/>
        <rFont val="Times New Roman"/>
        <family val="1"/>
      </rPr>
      <t>τ</t>
    </r>
    <r>
      <rPr>
        <sz val="10"/>
        <color theme="1"/>
        <rFont val="Times New Roman"/>
        <family val="1"/>
      </rPr>
      <t>н</t>
    </r>
    <r>
      <rPr>
        <sz val="12"/>
        <color theme="1"/>
        <rFont val="Times New Roman"/>
        <family val="1"/>
      </rPr>
      <t>}</t>
    </r>
  </si>
  <si>
    <t>A-2</t>
  </si>
  <si>
    <t xml:space="preserve"> مواصفات والمعاملات الخاصة بالتربة والبيتون و حديد التسليح</t>
  </si>
  <si>
    <t>الماركة</t>
  </si>
  <si>
    <t>M200</t>
  </si>
  <si>
    <t>M300</t>
  </si>
  <si>
    <t>M350</t>
  </si>
  <si>
    <t>M400</t>
  </si>
  <si>
    <t>M500</t>
  </si>
  <si>
    <t>M600</t>
  </si>
  <si>
    <t>M700</t>
  </si>
  <si>
    <t>M800</t>
  </si>
  <si>
    <t>Rb,н</t>
  </si>
  <si>
    <t>جدول 8</t>
  </si>
  <si>
    <t>Rb,н =</t>
  </si>
  <si>
    <t>مواصفات حديد التسليح المستخدم</t>
  </si>
  <si>
    <t>A-11</t>
  </si>
  <si>
    <t>A-111</t>
  </si>
  <si>
    <t>A-3</t>
  </si>
  <si>
    <t>ماركة الحديد</t>
  </si>
  <si>
    <t>مقاومة الشد عند حد السيولة,كغ/سم2</t>
  </si>
  <si>
    <t>معامل المرونة, كغ/سم2</t>
  </si>
  <si>
    <t>جدول9</t>
  </si>
  <si>
    <t>Ea =</t>
  </si>
  <si>
    <t>Raн =</t>
  </si>
  <si>
    <t>مواصفات  عامة للمنشأة</t>
  </si>
  <si>
    <t>جدول10</t>
  </si>
  <si>
    <t>العرض الكلي,م</t>
  </si>
  <si>
    <t>طول المجاز الكبير</t>
  </si>
  <si>
    <t>الارتفاع الداخلي الصافي</t>
  </si>
  <si>
    <t>سماكة السقف المبدأية</t>
  </si>
  <si>
    <t>سماكة الجدار المبدأية</t>
  </si>
  <si>
    <t>سماكة الارضية المبدأية</t>
  </si>
  <si>
    <r>
      <t>B</t>
    </r>
    <r>
      <rPr>
        <b/>
        <sz val="8"/>
        <color theme="1"/>
        <rFont val="Times New Roman"/>
        <family val="1"/>
      </rPr>
      <t>k, m</t>
    </r>
  </si>
  <si>
    <r>
      <rPr>
        <b/>
        <sz val="12"/>
        <color theme="1"/>
        <rFont val="Times New Roman"/>
        <family val="1"/>
      </rPr>
      <t>a</t>
    </r>
    <r>
      <rPr>
        <b/>
        <sz val="8"/>
        <color theme="1"/>
        <rFont val="Times New Roman"/>
        <family val="1"/>
      </rPr>
      <t>p, m</t>
    </r>
  </si>
  <si>
    <r>
      <rPr>
        <b/>
        <sz val="12"/>
        <color theme="1"/>
        <rFont val="Times New Roman"/>
        <family val="1"/>
      </rPr>
      <t>a</t>
    </r>
    <r>
      <rPr>
        <b/>
        <sz val="10"/>
        <color theme="1"/>
        <rFont val="Times New Roman"/>
        <family val="1"/>
      </rPr>
      <t>э, m</t>
    </r>
  </si>
  <si>
    <t>Hп, m</t>
  </si>
  <si>
    <t>Hc, m</t>
  </si>
  <si>
    <t>Hф, m</t>
  </si>
  <si>
    <t>B</t>
  </si>
  <si>
    <t>نسبة تسليح البيتون المبدأية</t>
  </si>
  <si>
    <t>μ</t>
  </si>
  <si>
    <t xml:space="preserve">في هذا الجزء سيقوم البرنامج باجراء الحسابات بعد ادخال المعطيات اعلاه ولكن بعض المعطيات لايمكن ادخالها الا بعد اجراء حسابات معينة, وفي هذا الجزء سنظهر بعض نتائج الحسابات الضرورية لمعرفة بعض المعطيات وادخالها </t>
  </si>
  <si>
    <t>B-1</t>
  </si>
  <si>
    <t>قيمة ( R¯̽)</t>
  </si>
  <si>
    <t>0.4&lt; ḧ&lt;=0.8</t>
  </si>
  <si>
    <t>ḧ&lt;=0.4</t>
  </si>
  <si>
    <t>ḧ =</t>
  </si>
  <si>
    <t>عند تحديد نوع الموجة  المؤثرة على السقف وعلى الجدار يطلب معرفة قيمة( R¯̽) بناء على قيمة ḧ  لذلك يا أخي انظر الى قيمة ḧ بالمربع باللون الاخضر وضع قيمة( R¯̽) الموافقة في المربع الاحمر</t>
  </si>
  <si>
    <t xml:space="preserve"> R¯̽ =</t>
  </si>
  <si>
    <t>B-2</t>
  </si>
  <si>
    <r>
      <rPr>
        <sz val="16"/>
        <color theme="1"/>
        <rFont val="Times New Roman"/>
        <family val="1"/>
      </rPr>
      <t>τ</t>
    </r>
    <r>
      <rPr>
        <sz val="12"/>
        <color theme="1"/>
        <rFont val="Times New Roman"/>
        <family val="1"/>
      </rPr>
      <t xml:space="preserve"> </t>
    </r>
    <r>
      <rPr>
        <sz val="12"/>
        <color theme="1"/>
        <rFont val="Times New Roman"/>
        <family val="2"/>
      </rPr>
      <t>= Kt*0.0035*(Cэф)^</t>
    </r>
    <r>
      <rPr>
        <sz val="10"/>
        <color theme="1"/>
        <rFont val="Times New Roman"/>
        <family val="1"/>
      </rPr>
      <t>0.333</t>
    </r>
    <r>
      <rPr>
        <sz val="12"/>
        <color theme="1"/>
        <rFont val="Times New Roman"/>
        <family val="2"/>
      </rPr>
      <t xml:space="preserve"> </t>
    </r>
  </si>
  <si>
    <t>عند تحديد الزمن الكلي لتأثير الموجة على السقف وعلى الجدار يطلب تعيين قيمة μ   و η و Kt  بناء على قيمة ḧ</t>
  </si>
  <si>
    <t>ḧ</t>
  </si>
  <si>
    <t>&lt; 0.4</t>
  </si>
  <si>
    <t>Kt</t>
  </si>
  <si>
    <t>0.4 ~ 1.0</t>
  </si>
  <si>
    <t>1.0 ~ 2</t>
  </si>
  <si>
    <t>1~ 1.35</t>
  </si>
  <si>
    <t>1.35~ 1.8</t>
  </si>
  <si>
    <t>Kt =</t>
  </si>
  <si>
    <t>η</t>
  </si>
  <si>
    <t xml:space="preserve">  قيمة (μ) عند قيمة (ḧ)</t>
  </si>
  <si>
    <t>1.0 ~ 1.5</t>
  </si>
  <si>
    <t>0.35 - 0.7</t>
  </si>
  <si>
    <t>0.5 - 0.9</t>
  </si>
  <si>
    <t>0.55 - 0.9</t>
  </si>
  <si>
    <t>0.65 - 1.0</t>
  </si>
  <si>
    <t>μ =</t>
  </si>
  <si>
    <t>η =</t>
  </si>
  <si>
    <t>B-3</t>
  </si>
  <si>
    <t>وكذلك استنادا الى سرعة هذه الموجات عند سطح الارض(a0)</t>
  </si>
  <si>
    <t>قيمة Z للسقف</t>
  </si>
  <si>
    <t>B-4</t>
  </si>
  <si>
    <t>السقف ومنتصف االجدار(Z)</t>
  </si>
  <si>
    <t>قيمة (Kпοд) عند قيم (Z) التالية:</t>
  </si>
  <si>
    <t>&lt; 0.5</t>
  </si>
  <si>
    <t>0.5 - 2</t>
  </si>
  <si>
    <t>&gt; 10</t>
  </si>
  <si>
    <t>2~10</t>
  </si>
  <si>
    <t>حديد A-1, A-11</t>
  </si>
  <si>
    <t>بيتون</t>
  </si>
  <si>
    <t>السقف</t>
  </si>
  <si>
    <t>Z =</t>
  </si>
  <si>
    <t>حديد سقف</t>
  </si>
  <si>
    <t>بيتون سقف</t>
  </si>
  <si>
    <t>Kпοд =</t>
  </si>
  <si>
    <t>B-5</t>
  </si>
  <si>
    <t>λ =</t>
  </si>
  <si>
    <r>
      <t>K</t>
    </r>
    <r>
      <rPr>
        <sz val="12"/>
        <color theme="1"/>
        <rFont val="Times New Roman"/>
        <family val="1"/>
      </rPr>
      <t>п =</t>
    </r>
  </si>
  <si>
    <t>عند حساب الحمولة العظمى على السقف و الجدار (Pmax) ,يجب ايجاد قيمة المعامل (Kп) بعد معرفة قيمة (λ) التي يقوم البرنامج بحسابها ويضعها باللون الاخضر, ثم يجب وضع قيم (Kп) في المربعات الحمر</t>
  </si>
  <si>
    <t>B-6</t>
  </si>
  <si>
    <r>
      <t>عند حساب الحمولة المكافئة (Pэкв) للسقف وللجدار, يجب ايجاد قيمة معامل الديناميك (Kд) المرتبط بقيمة (</t>
    </r>
    <r>
      <rPr>
        <b/>
        <sz val="14"/>
        <color theme="1"/>
        <rFont val="Times New Roman"/>
        <family val="1"/>
      </rPr>
      <t>ωτ</t>
    </r>
    <r>
      <rPr>
        <b/>
        <sz val="12"/>
        <color theme="1"/>
        <rFont val="Times New Roman"/>
        <family val="1"/>
      </rPr>
      <t>н) ووضعها بالمربع الاحمر. (ωτн) قد حسبها البرنامج ووضعها بالمربع الاخضر</t>
    </r>
  </si>
  <si>
    <r>
      <rPr>
        <b/>
        <sz val="14"/>
        <color theme="1"/>
        <rFont val="Times New Roman"/>
        <family val="1"/>
      </rPr>
      <t>ωτ</t>
    </r>
    <r>
      <rPr>
        <b/>
        <sz val="12"/>
        <color theme="1"/>
        <rFont val="Times New Roman"/>
        <family val="1"/>
      </rPr>
      <t>н =</t>
    </r>
  </si>
  <si>
    <t>Kд =</t>
  </si>
  <si>
    <t>عزيزي المهندس الشاطر: يتم استخدام هذا البرنامج من خلال هذه الصفحة وستكون الإدخالات والمخرجات في هذه الصفحة ولاداعي لفتح الصفحة الاولى والثانية لأن اي كتابة او تعديل سيؤدي الى تخريب البرنامج</t>
  </si>
  <si>
    <t>جدول 2 يبين السرعة الابتدائية لسقوط القنبلة وزاوية الميل عن الشاقول عند الاصطدام بالارض</t>
  </si>
  <si>
    <r>
      <rPr>
        <b/>
        <sz val="12"/>
        <color theme="1"/>
        <rFont val="Times New Roman"/>
        <family val="1"/>
      </rPr>
      <t>b</t>
    </r>
    <r>
      <rPr>
        <b/>
        <sz val="10"/>
        <color theme="1"/>
        <rFont val="Times New Roman"/>
        <family val="1"/>
      </rPr>
      <t>p,m</t>
    </r>
  </si>
  <si>
    <r>
      <t xml:space="preserve">عندما يتم حساب </t>
    </r>
    <r>
      <rPr>
        <b/>
        <sz val="11"/>
        <color theme="1"/>
        <rFont val="Times New Roman"/>
        <family val="1"/>
      </rPr>
      <t xml:space="preserve">زمن تصاعد قيمة الضغط في الموجة </t>
    </r>
    <r>
      <rPr>
        <b/>
        <sz val="14"/>
        <color theme="1"/>
        <rFont val="Times New Roman"/>
        <family val="1"/>
      </rPr>
      <t>τ</t>
    </r>
    <r>
      <rPr>
        <b/>
        <sz val="11"/>
        <color theme="1"/>
        <rFont val="Times New Roman"/>
        <family val="1"/>
      </rPr>
      <t>н</t>
    </r>
    <r>
      <rPr>
        <b/>
        <sz val="10"/>
        <color theme="1"/>
        <rFont val="Times New Roman"/>
        <family val="1"/>
      </rPr>
      <t xml:space="preserve">, فيجب معرفة </t>
    </r>
    <r>
      <rPr>
        <b/>
        <sz val="11"/>
        <color theme="1"/>
        <rFont val="Times New Roman"/>
        <family val="1"/>
      </rPr>
      <t>سرعة انتشار الموجات الطولية المرنة (a0z) و (a1z)</t>
    </r>
    <r>
      <rPr>
        <b/>
        <sz val="10"/>
        <color theme="1"/>
        <rFont val="Times New Roman"/>
        <family val="1"/>
      </rPr>
      <t xml:space="preserve"> عند مستوى سطح السقف ومستوى منتصف الجدار وذلك استنادا الى حسابات </t>
    </r>
    <r>
      <rPr>
        <b/>
        <sz val="11"/>
        <color theme="1"/>
        <rFont val="Times New Roman"/>
        <family val="1"/>
      </rPr>
      <t>عمق توضع السقف وعمق توضع الجدار (Z)</t>
    </r>
  </si>
  <si>
    <r>
      <t xml:space="preserve">قيمة </t>
    </r>
    <r>
      <rPr>
        <b/>
        <sz val="14"/>
        <color theme="1"/>
        <rFont val="Times New Roman"/>
        <family val="1"/>
      </rPr>
      <t>a</t>
    </r>
    <r>
      <rPr>
        <b/>
        <sz val="9"/>
        <color theme="1"/>
        <rFont val="Times New Roman"/>
        <family val="1"/>
      </rPr>
      <t>0</t>
    </r>
    <r>
      <rPr>
        <b/>
        <sz val="12"/>
        <color theme="1"/>
        <rFont val="Times New Roman"/>
        <family val="1"/>
      </rPr>
      <t xml:space="preserve">  للسقف</t>
    </r>
  </si>
  <si>
    <r>
      <t xml:space="preserve">قيمة </t>
    </r>
    <r>
      <rPr>
        <b/>
        <sz val="14"/>
        <color theme="1"/>
        <rFont val="Times New Roman"/>
        <family val="1"/>
      </rPr>
      <t>a</t>
    </r>
    <r>
      <rPr>
        <b/>
        <sz val="9"/>
        <color theme="1"/>
        <rFont val="Times New Roman"/>
        <family val="1"/>
      </rPr>
      <t>0</t>
    </r>
    <r>
      <rPr>
        <b/>
        <sz val="12"/>
        <color theme="1"/>
        <rFont val="Times New Roman"/>
        <family val="1"/>
      </rPr>
      <t>z  للسقف</t>
    </r>
  </si>
  <si>
    <r>
      <t xml:space="preserve">قيمة </t>
    </r>
    <r>
      <rPr>
        <b/>
        <sz val="14"/>
        <color theme="1"/>
        <rFont val="Times New Roman"/>
        <family val="1"/>
      </rPr>
      <t>a</t>
    </r>
    <r>
      <rPr>
        <b/>
        <sz val="12"/>
        <color theme="1"/>
        <rFont val="Times New Roman"/>
        <family val="1"/>
      </rPr>
      <t>1  للسقف</t>
    </r>
  </si>
  <si>
    <r>
      <t xml:space="preserve">قيمة </t>
    </r>
    <r>
      <rPr>
        <b/>
        <sz val="14"/>
        <color theme="1"/>
        <rFont val="Times New Roman"/>
        <family val="1"/>
      </rPr>
      <t>a</t>
    </r>
    <r>
      <rPr>
        <b/>
        <sz val="12"/>
        <color theme="1"/>
        <rFont val="Times New Roman"/>
        <family val="1"/>
      </rPr>
      <t>1z  للسقف</t>
    </r>
  </si>
  <si>
    <r>
      <rPr>
        <b/>
        <sz val="10"/>
        <color theme="1"/>
        <rFont val="Times New Roman"/>
        <family val="1"/>
      </rPr>
      <t>عندما نحسب ارتفاع المنطقة المضغوطة من مقطع بيتون السقف والجدار</t>
    </r>
    <r>
      <rPr>
        <b/>
        <sz val="11"/>
        <color theme="1"/>
        <rFont val="Times New Roman"/>
        <family val="1"/>
      </rPr>
      <t xml:space="preserve"> X  , </t>
    </r>
    <r>
      <rPr>
        <b/>
        <sz val="10"/>
        <color theme="1"/>
        <rFont val="Times New Roman"/>
        <family val="1"/>
      </rPr>
      <t xml:space="preserve">فيجب علينا ايجاد قيمة </t>
    </r>
    <r>
      <rPr>
        <b/>
        <sz val="11"/>
        <color theme="1"/>
        <rFont val="Times New Roman"/>
        <family val="1"/>
      </rPr>
      <t xml:space="preserve">معامل (Kпοд) لبيتون السقف وحديد السقف وكذلك لبيتون الجدار وحديد الجدار وهذا العامل متعلق بنوع حديد التسليح والبيتون وبعمق توضع سطح </t>
    </r>
  </si>
  <si>
    <t>م</t>
  </si>
  <si>
    <t xml:space="preserve">ارجو منك الالتزام بطريقة العمل حسب ماسأكتبه ادناه. القيم الموضوعة هي لحالة دراسية معينة اما انت فاختر ماتريده وستتغير الارقام والحسابات بناء على دراستك انت. </t>
  </si>
  <si>
    <t>مقاومة البيتون(سقف + جدار) على الضغط حسب ماركة البيتون (Rb,н), كغ/سم2</t>
  </si>
  <si>
    <t>معامل اختراق بيتون السقف</t>
  </si>
  <si>
    <t>عامل تصدع بيتون البلاطة من جهة الانفجار</t>
  </si>
  <si>
    <r>
      <t>K</t>
    </r>
    <r>
      <rPr>
        <b/>
        <sz val="10"/>
        <rFont val="Times New Roman"/>
        <family val="1"/>
      </rPr>
      <t xml:space="preserve"> kp.ct</t>
    </r>
  </si>
  <si>
    <t>Pk =</t>
  </si>
  <si>
    <t>وزن المنشأة , طن</t>
  </si>
  <si>
    <t>كغ/m2</t>
  </si>
  <si>
    <t xml:space="preserve">x=(Rsd*Fas)/(Rbd) </t>
  </si>
  <si>
    <t>B=0.85*Ea*Fa.s*(h0-x)(h0-0.5x)*10000</t>
  </si>
  <si>
    <t>ثا^-1</t>
  </si>
  <si>
    <t>يتم حسابه تلقائيا لذلك لاداعي للادخال هنا</t>
  </si>
  <si>
    <t>التربة الاساسية</t>
  </si>
  <si>
    <t>البيتون</t>
  </si>
  <si>
    <t>الوزن الحجمي, كغ/م3</t>
  </si>
  <si>
    <t xml:space="preserve">ملاحظة مهمة: قد تكون التربة عندك غير معروضة هنا, لذلك ياصديقي يجب ان تشغل مخك </t>
  </si>
  <si>
    <t xml:space="preserve">ويمكنك ان تختار قيمة معاملات هذه التربة حسب تقديرك. مثلا: اذا حفرت المنشأة في تربة صخرية </t>
  </si>
  <si>
    <t>قساوة بقليل فخفض او زد قيمة هذه المعاملات بعد المقارنة العقلية مع انواع التربة المدرجة في الجداول</t>
  </si>
  <si>
    <t xml:space="preserve">فهل هذه التربة قاسية مثل البيتون العادي اذا كان كذلك استخدم معاملات البيتون العادي واذا كانت اقل </t>
  </si>
  <si>
    <t>اي هل تخفض ام تزيد وكم تخفض او تزيد</t>
  </si>
  <si>
    <t>طول المجاز الصغير</t>
  </si>
  <si>
    <r>
      <rPr>
        <b/>
        <sz val="12"/>
        <color theme="1"/>
        <rFont val="Times New Roman"/>
        <family val="1"/>
      </rPr>
      <t>القنبلة المستخدمة</t>
    </r>
    <r>
      <rPr>
        <sz val="12"/>
        <color theme="1"/>
        <rFont val="Times New Roman"/>
        <family val="2"/>
      </rPr>
      <t xml:space="preserve">: ان هذه الدراسة تخص القنابل الخارقة التي تخرق مسافة معينة في بلاطة الحماية وتنفجر بعد زمن </t>
    </r>
  </si>
  <si>
    <r>
      <t>n ={3.5 -l</t>
    </r>
    <r>
      <rPr>
        <sz val="12"/>
        <color theme="1"/>
        <rFont val="Times New Roman"/>
        <family val="1"/>
      </rPr>
      <t>гч</t>
    </r>
    <r>
      <rPr>
        <sz val="12"/>
        <color theme="1"/>
        <rFont val="Times New Roman"/>
        <family val="2"/>
      </rPr>
      <t>/d)</t>
    </r>
  </si>
  <si>
    <r>
      <rPr>
        <b/>
        <sz val="16"/>
        <color theme="1"/>
        <rFont val="Times New Roman"/>
        <family val="1"/>
      </rPr>
      <t>ц</t>
    </r>
    <r>
      <rPr>
        <sz val="12"/>
        <color theme="1"/>
        <rFont val="Times New Roman"/>
        <family val="2"/>
      </rPr>
      <t xml:space="preserve">=0.5 </t>
    </r>
    <r>
      <rPr>
        <sz val="16"/>
        <color theme="1"/>
        <rFont val="Times New Roman"/>
        <family val="1"/>
      </rPr>
      <t>l</t>
    </r>
    <r>
      <rPr>
        <sz val="10"/>
        <color theme="1"/>
        <rFont val="Times New Roman"/>
        <family val="1"/>
      </rPr>
      <t>k*COS((α+nα)/2)</t>
    </r>
  </si>
  <si>
    <t>استحدام البرنامج من ال(Sheet3)</t>
  </si>
  <si>
    <t>النفق</t>
  </si>
  <si>
    <t>منطقة الحمل الديناميكي</t>
  </si>
  <si>
    <t>دراسة الحمولة الحسابية على سقف النفق نتيجة انفجار قنبلة بعد اختراقها للتربة</t>
  </si>
  <si>
    <t>تحديد عمق الاختراق في التربة</t>
  </si>
  <si>
    <r>
      <t xml:space="preserve">hᴈ = hnp - </t>
    </r>
    <r>
      <rPr>
        <sz val="12"/>
        <color theme="1"/>
        <rFont val="Times New Roman"/>
        <family val="1"/>
      </rPr>
      <t>ц</t>
    </r>
  </si>
  <si>
    <r>
      <t>Rэkв= H-h</t>
    </r>
    <r>
      <rPr>
        <sz val="12"/>
        <color theme="1"/>
        <rFont val="Times New Roman"/>
        <family val="1"/>
      </rPr>
      <t>з</t>
    </r>
  </si>
  <si>
    <r>
      <t>R</t>
    </r>
    <r>
      <rPr>
        <sz val="12"/>
        <color theme="1"/>
        <rFont val="Times New Roman"/>
        <family val="1"/>
      </rPr>
      <t>٭</t>
    </r>
    <r>
      <rPr>
        <sz val="12"/>
        <color theme="1"/>
        <rFont val="Times New Roman"/>
        <family val="2"/>
      </rPr>
      <t>=R</t>
    </r>
    <r>
      <rPr>
        <sz val="9"/>
        <color theme="1"/>
        <rFont val="Times New Roman"/>
        <family val="1"/>
      </rPr>
      <t>٭־</t>
    </r>
    <r>
      <rPr>
        <sz val="12"/>
        <color theme="1"/>
        <rFont val="Times New Roman"/>
        <family val="2"/>
      </rPr>
      <t>(Cэф)^</t>
    </r>
    <r>
      <rPr>
        <sz val="10"/>
        <color theme="1"/>
        <rFont val="Times New Roman"/>
        <family val="1"/>
      </rPr>
      <t>0.333</t>
    </r>
  </si>
  <si>
    <r>
      <t>Z</t>
    </r>
    <r>
      <rPr>
        <sz val="12"/>
        <color theme="1"/>
        <rFont val="Times New Roman"/>
        <family val="1"/>
      </rPr>
      <t>п</t>
    </r>
    <r>
      <rPr>
        <sz val="12"/>
        <color theme="1"/>
        <rFont val="Times New Roman"/>
        <family val="2"/>
      </rPr>
      <t xml:space="preserve"> = H</t>
    </r>
  </si>
  <si>
    <t xml:space="preserve">ملاحظة: ان سماكة السقف والجدار والارضية توضع هنا لاجراء بعض الحسابات الاولية </t>
  </si>
  <si>
    <r>
      <rPr>
        <sz val="16"/>
        <rFont val="Times New Roman"/>
        <family val="1"/>
      </rPr>
      <t>a</t>
    </r>
    <r>
      <rPr>
        <sz val="10"/>
        <rFont val="Times New Roman"/>
        <family val="1"/>
      </rPr>
      <t>эt</t>
    </r>
  </si>
  <si>
    <r>
      <t>k</t>
    </r>
    <r>
      <rPr>
        <b/>
        <sz val="9"/>
        <rFont val="Times New Roman"/>
        <family val="1"/>
      </rPr>
      <t>р.г</t>
    </r>
  </si>
  <si>
    <r>
      <rPr>
        <b/>
        <sz val="14"/>
        <rFont val="Times New Roman"/>
        <family val="1"/>
      </rPr>
      <t>K</t>
    </r>
    <r>
      <rPr>
        <b/>
        <sz val="10"/>
        <rFont val="Times New Roman"/>
        <family val="1"/>
      </rPr>
      <t>p.pc</t>
    </r>
  </si>
  <si>
    <r>
      <t>L</t>
    </r>
    <r>
      <rPr>
        <sz val="10"/>
        <rFont val="Times New Roman"/>
        <family val="1"/>
      </rPr>
      <t>k</t>
    </r>
  </si>
  <si>
    <r>
      <rPr>
        <sz val="16"/>
        <rFont val="Times New Roman"/>
        <family val="1"/>
      </rPr>
      <t>b</t>
    </r>
    <r>
      <rPr>
        <sz val="10"/>
        <rFont val="Times New Roman"/>
        <family val="1"/>
      </rPr>
      <t>p</t>
    </r>
  </si>
  <si>
    <r>
      <t>k</t>
    </r>
    <r>
      <rPr>
        <b/>
        <sz val="9"/>
        <rFont val="Times New Roman"/>
        <family val="1"/>
      </rPr>
      <t>р.бt</t>
    </r>
  </si>
  <si>
    <r>
      <rPr>
        <sz val="16"/>
        <rFont val="Times New Roman"/>
        <family val="1"/>
      </rPr>
      <t>a</t>
    </r>
    <r>
      <rPr>
        <sz val="9"/>
        <rFont val="Times New Roman"/>
        <family val="1"/>
      </rPr>
      <t>p</t>
    </r>
  </si>
  <si>
    <r>
      <rPr>
        <b/>
        <sz val="14"/>
        <rFont val="Times New Roman"/>
        <family val="1"/>
      </rPr>
      <t>γ</t>
    </r>
    <r>
      <rPr>
        <b/>
        <sz val="12"/>
        <rFont val="Times New Roman"/>
        <family val="1"/>
      </rPr>
      <t>οбс</t>
    </r>
  </si>
  <si>
    <r>
      <rPr>
        <b/>
        <sz val="14"/>
        <rFont val="Times New Roman"/>
        <family val="1"/>
      </rPr>
      <t>n</t>
    </r>
    <r>
      <rPr>
        <b/>
        <sz val="10"/>
        <rFont val="Times New Roman"/>
        <family val="1"/>
      </rPr>
      <t>1</t>
    </r>
  </si>
  <si>
    <r>
      <rPr>
        <b/>
        <sz val="14"/>
        <rFont val="Times New Roman"/>
        <family val="1"/>
      </rPr>
      <t xml:space="preserve">γ </t>
    </r>
    <r>
      <rPr>
        <b/>
        <sz val="10"/>
        <rFont val="Times New Roman"/>
        <family val="1"/>
      </rPr>
      <t>p.c</t>
    </r>
  </si>
  <si>
    <r>
      <rPr>
        <b/>
        <sz val="14"/>
        <rFont val="Times New Roman"/>
        <family val="1"/>
      </rPr>
      <t>μ</t>
    </r>
    <r>
      <rPr>
        <b/>
        <sz val="12"/>
        <rFont val="Times New Roman"/>
        <family val="1"/>
      </rPr>
      <t>п</t>
    </r>
  </si>
  <si>
    <r>
      <rPr>
        <sz val="16"/>
        <rFont val="Times New Roman"/>
        <family val="1"/>
      </rPr>
      <t>l</t>
    </r>
    <r>
      <rPr>
        <sz val="9"/>
        <rFont val="Times New Roman"/>
        <family val="1"/>
      </rPr>
      <t>k</t>
    </r>
  </si>
  <si>
    <r>
      <rPr>
        <b/>
        <sz val="14"/>
        <rFont val="Times New Roman"/>
        <family val="1"/>
      </rPr>
      <t>η</t>
    </r>
    <r>
      <rPr>
        <b/>
        <sz val="12"/>
        <rFont val="Times New Roman"/>
        <family val="1"/>
      </rPr>
      <t>п</t>
    </r>
  </si>
  <si>
    <r>
      <t>l</t>
    </r>
    <r>
      <rPr>
        <sz val="9"/>
        <rFont val="Times New Roman"/>
        <family val="1"/>
      </rPr>
      <t>ᴈ</t>
    </r>
    <r>
      <rPr>
        <sz val="16"/>
        <rFont val="Times New Roman"/>
        <family val="1"/>
      </rPr>
      <t>/d</t>
    </r>
    <r>
      <rPr>
        <sz val="9"/>
        <rFont val="Times New Roman"/>
        <family val="1"/>
      </rPr>
      <t>ᴈ</t>
    </r>
  </si>
  <si>
    <r>
      <rPr>
        <b/>
        <sz val="16"/>
        <rFont val="Times New Roman"/>
        <family val="1"/>
      </rPr>
      <t>h</t>
    </r>
    <r>
      <rPr>
        <b/>
        <sz val="10"/>
        <rFont val="Times New Roman"/>
        <family val="1"/>
      </rPr>
      <t>oбc</t>
    </r>
  </si>
  <si>
    <r>
      <t>l</t>
    </r>
    <r>
      <rPr>
        <sz val="9"/>
        <rFont val="Times New Roman"/>
        <family val="1"/>
      </rPr>
      <t>oб</t>
    </r>
  </si>
  <si>
    <r>
      <rPr>
        <b/>
        <sz val="16"/>
        <rFont val="Times New Roman"/>
        <family val="1"/>
      </rPr>
      <t>a</t>
    </r>
    <r>
      <rPr>
        <sz val="10"/>
        <rFont val="Times New Roman"/>
        <family val="1"/>
      </rPr>
      <t>0п</t>
    </r>
  </si>
  <si>
    <r>
      <rPr>
        <b/>
        <sz val="16"/>
        <rFont val="Times New Roman"/>
        <family val="1"/>
      </rPr>
      <t>a</t>
    </r>
    <r>
      <rPr>
        <sz val="10"/>
        <rFont val="Times New Roman"/>
        <family val="1"/>
      </rPr>
      <t>0c</t>
    </r>
  </si>
  <si>
    <r>
      <t>l</t>
    </r>
    <r>
      <rPr>
        <sz val="9"/>
        <rFont val="Times New Roman"/>
        <family val="1"/>
      </rPr>
      <t>гч</t>
    </r>
    <r>
      <rPr>
        <sz val="16"/>
        <rFont val="Times New Roman"/>
        <family val="1"/>
      </rPr>
      <t>/d</t>
    </r>
  </si>
  <si>
    <r>
      <rPr>
        <b/>
        <sz val="16"/>
        <rFont val="Times New Roman"/>
        <family val="1"/>
      </rPr>
      <t>a</t>
    </r>
    <r>
      <rPr>
        <sz val="10"/>
        <rFont val="Times New Roman"/>
        <family val="1"/>
      </rPr>
      <t>0п</t>
    </r>
    <r>
      <rPr>
        <sz val="14"/>
        <rFont val="Times New Roman"/>
        <family val="1"/>
      </rPr>
      <t>/</t>
    </r>
    <r>
      <rPr>
        <b/>
        <sz val="16"/>
        <rFont val="Times New Roman"/>
        <family val="1"/>
      </rPr>
      <t>a</t>
    </r>
    <r>
      <rPr>
        <sz val="10"/>
        <rFont val="Times New Roman"/>
        <family val="1"/>
      </rPr>
      <t>1п</t>
    </r>
  </si>
  <si>
    <r>
      <rPr>
        <b/>
        <sz val="16"/>
        <rFont val="Times New Roman"/>
        <family val="1"/>
      </rPr>
      <t>a</t>
    </r>
    <r>
      <rPr>
        <sz val="9"/>
        <rFont val="Times New Roman"/>
        <family val="1"/>
      </rPr>
      <t>1п</t>
    </r>
  </si>
  <si>
    <r>
      <rPr>
        <b/>
        <sz val="16"/>
        <rFont val="Times New Roman"/>
        <family val="1"/>
      </rPr>
      <t>a</t>
    </r>
    <r>
      <rPr>
        <sz val="10"/>
        <rFont val="Times New Roman"/>
        <family val="1"/>
      </rPr>
      <t>0c</t>
    </r>
    <r>
      <rPr>
        <sz val="14"/>
        <rFont val="Times New Roman"/>
        <family val="1"/>
      </rPr>
      <t>/</t>
    </r>
    <r>
      <rPr>
        <b/>
        <sz val="16"/>
        <rFont val="Times New Roman"/>
        <family val="1"/>
      </rPr>
      <t>a</t>
    </r>
    <r>
      <rPr>
        <sz val="10"/>
        <rFont val="Times New Roman"/>
        <family val="1"/>
      </rPr>
      <t>1c</t>
    </r>
  </si>
  <si>
    <r>
      <rPr>
        <b/>
        <sz val="16"/>
        <rFont val="Times New Roman"/>
        <family val="1"/>
      </rPr>
      <t>a</t>
    </r>
    <r>
      <rPr>
        <sz val="10"/>
        <rFont val="Times New Roman"/>
        <family val="1"/>
      </rPr>
      <t>1c</t>
    </r>
  </si>
  <si>
    <r>
      <t>H</t>
    </r>
    <r>
      <rPr>
        <sz val="9"/>
        <rFont val="Times New Roman"/>
        <family val="1"/>
      </rPr>
      <t>ct</t>
    </r>
  </si>
  <si>
    <r>
      <rPr>
        <b/>
        <sz val="16"/>
        <rFont val="Times New Roman"/>
        <family val="1"/>
      </rPr>
      <t>n</t>
    </r>
    <r>
      <rPr>
        <b/>
        <sz val="9"/>
        <rFont val="Times New Roman"/>
        <family val="1"/>
      </rPr>
      <t>0</t>
    </r>
  </si>
  <si>
    <r>
      <rPr>
        <b/>
        <sz val="16"/>
        <rFont val="Times New Roman"/>
        <family val="1"/>
      </rPr>
      <t>a</t>
    </r>
    <r>
      <rPr>
        <sz val="10"/>
        <rFont val="Times New Roman"/>
        <family val="1"/>
      </rPr>
      <t>0пz</t>
    </r>
  </si>
  <si>
    <r>
      <rPr>
        <b/>
        <sz val="16"/>
        <rFont val="Times New Roman"/>
        <family val="1"/>
      </rPr>
      <t>a</t>
    </r>
    <r>
      <rPr>
        <sz val="10"/>
        <rFont val="Times New Roman"/>
        <family val="1"/>
      </rPr>
      <t>0cz</t>
    </r>
  </si>
  <si>
    <r>
      <t>H</t>
    </r>
    <r>
      <rPr>
        <sz val="9"/>
        <rFont val="Times New Roman"/>
        <family val="1"/>
      </rPr>
      <t>вct</t>
    </r>
  </si>
  <si>
    <r>
      <rPr>
        <b/>
        <sz val="16"/>
        <rFont val="Times New Roman"/>
        <family val="1"/>
      </rPr>
      <t>k</t>
    </r>
    <r>
      <rPr>
        <b/>
        <sz val="12"/>
        <rFont val="Times New Roman"/>
        <family val="1"/>
      </rPr>
      <t>вt.бt</t>
    </r>
  </si>
  <si>
    <r>
      <rPr>
        <b/>
        <sz val="16"/>
        <rFont val="Times New Roman"/>
        <family val="1"/>
      </rPr>
      <t>a</t>
    </r>
    <r>
      <rPr>
        <sz val="10"/>
        <rFont val="Times New Roman"/>
        <family val="1"/>
      </rPr>
      <t>1пz</t>
    </r>
  </si>
  <si>
    <r>
      <rPr>
        <b/>
        <sz val="16"/>
        <rFont val="Times New Roman"/>
        <family val="1"/>
      </rPr>
      <t>a</t>
    </r>
    <r>
      <rPr>
        <sz val="10"/>
        <rFont val="Times New Roman"/>
        <family val="1"/>
      </rPr>
      <t>1cz</t>
    </r>
  </si>
  <si>
    <r>
      <t>H</t>
    </r>
    <r>
      <rPr>
        <sz val="9"/>
        <rFont val="Times New Roman"/>
        <family val="1"/>
      </rPr>
      <t>ф</t>
    </r>
  </si>
  <si>
    <r>
      <rPr>
        <b/>
        <sz val="16"/>
        <rFont val="Times New Roman"/>
        <family val="1"/>
      </rPr>
      <t>d</t>
    </r>
    <r>
      <rPr>
        <b/>
        <sz val="10"/>
        <rFont val="Times New Roman"/>
        <family val="1"/>
      </rPr>
      <t>k</t>
    </r>
  </si>
  <si>
    <r>
      <t>H</t>
    </r>
    <r>
      <rPr>
        <sz val="9"/>
        <rFont val="Times New Roman"/>
        <family val="1"/>
      </rPr>
      <t>п</t>
    </r>
  </si>
  <si>
    <r>
      <t>K</t>
    </r>
    <r>
      <rPr>
        <b/>
        <sz val="10"/>
        <rFont val="Times New Roman"/>
        <family val="1"/>
      </rPr>
      <t>1</t>
    </r>
  </si>
  <si>
    <r>
      <t>ρ,</t>
    </r>
    <r>
      <rPr>
        <b/>
        <sz val="10"/>
        <rFont val="Times New Roman"/>
        <family val="1"/>
      </rPr>
      <t>kg.s2/m4</t>
    </r>
  </si>
  <si>
    <r>
      <t>k</t>
    </r>
    <r>
      <rPr>
        <sz val="9"/>
        <rFont val="Times New Roman"/>
        <family val="1"/>
      </rPr>
      <t>пр.г</t>
    </r>
  </si>
  <si>
    <r>
      <rPr>
        <b/>
        <sz val="16"/>
        <rFont val="Times New Roman"/>
        <family val="1"/>
      </rPr>
      <t>k</t>
    </r>
    <r>
      <rPr>
        <b/>
        <sz val="10"/>
        <rFont val="Times New Roman"/>
        <family val="1"/>
      </rPr>
      <t>ot</t>
    </r>
    <r>
      <rPr>
        <b/>
        <sz val="12"/>
        <rFont val="Times New Roman"/>
        <family val="1"/>
      </rPr>
      <t>.бt</t>
    </r>
  </si>
  <si>
    <r>
      <t>k</t>
    </r>
    <r>
      <rPr>
        <sz val="9"/>
        <rFont val="Times New Roman"/>
        <family val="1"/>
      </rPr>
      <t>пр.б</t>
    </r>
  </si>
  <si>
    <r>
      <t>k</t>
    </r>
    <r>
      <rPr>
        <b/>
        <sz val="10"/>
        <rFont val="Times New Roman"/>
        <family val="1"/>
      </rPr>
      <t>ot</t>
    </r>
    <r>
      <rPr>
        <b/>
        <sz val="9"/>
        <rFont val="Times New Roman"/>
        <family val="1"/>
      </rPr>
      <t>.г</t>
    </r>
  </si>
  <si>
    <r>
      <t>Rs</t>
    </r>
    <r>
      <rPr>
        <sz val="10"/>
        <rFont val="Times New Roman"/>
        <family val="1"/>
      </rPr>
      <t>H</t>
    </r>
  </si>
  <si>
    <r>
      <t>γ</t>
    </r>
    <r>
      <rPr>
        <sz val="9"/>
        <rFont val="Times New Roman"/>
        <family val="1"/>
      </rPr>
      <t>б</t>
    </r>
  </si>
  <si>
    <r>
      <t>Rb</t>
    </r>
    <r>
      <rPr>
        <sz val="10"/>
        <rFont val="Times New Roman"/>
        <family val="1"/>
      </rPr>
      <t>H</t>
    </r>
  </si>
  <si>
    <r>
      <t>γ</t>
    </r>
    <r>
      <rPr>
        <sz val="9"/>
        <rFont val="Times New Roman"/>
        <family val="1"/>
      </rPr>
      <t>г</t>
    </r>
  </si>
  <si>
    <r>
      <t>m</t>
    </r>
    <r>
      <rPr>
        <b/>
        <sz val="9"/>
        <rFont val="Times New Roman"/>
        <family val="1"/>
      </rPr>
      <t>1</t>
    </r>
  </si>
  <si>
    <r>
      <t>R</t>
    </r>
    <r>
      <rPr>
        <b/>
        <sz val="9"/>
        <rFont val="Times New Roman"/>
        <family val="1"/>
      </rPr>
      <t>٭־п</t>
    </r>
  </si>
  <si>
    <r>
      <t>K</t>
    </r>
    <r>
      <rPr>
        <sz val="9"/>
        <rFont val="Times New Roman"/>
        <family val="1"/>
      </rPr>
      <t>пοд.b</t>
    </r>
  </si>
  <si>
    <r>
      <t>K</t>
    </r>
    <r>
      <rPr>
        <sz val="9"/>
        <rFont val="Times New Roman"/>
        <family val="1"/>
      </rPr>
      <t>пοд.s</t>
    </r>
  </si>
  <si>
    <r>
      <t>P</t>
    </r>
    <r>
      <rPr>
        <sz val="10"/>
        <rFont val="Times New Roman"/>
        <family val="1"/>
      </rPr>
      <t>k</t>
    </r>
  </si>
  <si>
    <t>H</t>
  </si>
  <si>
    <t>عمق توضع سقف النفق</t>
  </si>
  <si>
    <t>مادة التربة حول  المنشأة</t>
  </si>
  <si>
    <t xml:space="preserve">الناتج عن انفجار القنبلة على السقف. </t>
  </si>
  <si>
    <t>التربة حول المنشأة</t>
  </si>
  <si>
    <t>1/c</t>
  </si>
  <si>
    <t>عمق توضع سقف النفق عن نقطة اصطدام القنبلة بسطح الارض</t>
  </si>
  <si>
    <t>H=</t>
  </si>
  <si>
    <t>النتائج</t>
  </si>
  <si>
    <t>كغ/سم2</t>
  </si>
  <si>
    <t>الحمولة الحسابية الكلية عند المقطع المدروس</t>
  </si>
  <si>
    <t>الحمولة الديناميكية المكافئة على سقف النفق عند المقطع المدروس</t>
  </si>
  <si>
    <t>الحمولة الستاتيكية على سقف النفق عند المقطع المدروس</t>
  </si>
  <si>
    <r>
      <t xml:space="preserve">اذا كان مكتوب في هذا المربع ان </t>
    </r>
    <r>
      <rPr>
        <b/>
        <sz val="11"/>
        <color rgb="FFFF0000"/>
        <rFont val="Times New Roman"/>
        <family val="1"/>
      </rPr>
      <t>الشرط محقق</t>
    </r>
    <r>
      <rPr>
        <b/>
        <sz val="11"/>
        <color theme="1"/>
        <rFont val="Times New Roman"/>
        <family val="1"/>
      </rPr>
      <t xml:space="preserve"> فالامور جيدة واذا كتب </t>
    </r>
    <r>
      <rPr>
        <b/>
        <sz val="11"/>
        <color rgb="FFFF0000"/>
        <rFont val="Times New Roman"/>
        <family val="1"/>
      </rPr>
      <t>غير محقق</t>
    </r>
    <r>
      <rPr>
        <b/>
        <sz val="11"/>
        <color theme="1"/>
        <rFont val="Times New Roman"/>
        <family val="1"/>
      </rPr>
      <t xml:space="preserve"> فاعلم ان المقطع المدروس يقع ضمن منطقة الحمل الديناميكي وله دراسة غير هذه</t>
    </r>
  </si>
  <si>
    <t>صخر متوسط القساوة</t>
  </si>
  <si>
    <t>0.75 - 1.1</t>
  </si>
  <si>
    <r>
      <rPr>
        <b/>
        <sz val="14"/>
        <color theme="1"/>
        <rFont val="Times New Roman"/>
        <family val="1"/>
      </rPr>
      <t>h</t>
    </r>
    <r>
      <rPr>
        <sz val="10"/>
        <color theme="1"/>
        <rFont val="Times New Roman"/>
        <family val="1"/>
      </rPr>
      <t>пр.t</t>
    </r>
    <r>
      <rPr>
        <sz val="12"/>
        <color theme="1"/>
        <rFont val="Times New Roman"/>
        <family val="2"/>
      </rPr>
      <t xml:space="preserve"> = </t>
    </r>
    <r>
      <rPr>
        <sz val="14"/>
        <color theme="1"/>
        <rFont val="Times New Roman"/>
        <family val="1"/>
      </rPr>
      <t>λ</t>
    </r>
    <r>
      <rPr>
        <sz val="9"/>
        <color theme="1"/>
        <rFont val="Times New Roman"/>
        <family val="1"/>
      </rPr>
      <t>1</t>
    </r>
    <r>
      <rPr>
        <sz val="12"/>
        <color theme="1"/>
        <rFont val="Times New Roman"/>
        <family val="2"/>
      </rPr>
      <t>*</t>
    </r>
    <r>
      <rPr>
        <sz val="14"/>
        <color theme="1"/>
        <rFont val="Times New Roman"/>
        <family val="1"/>
      </rPr>
      <t>λ</t>
    </r>
    <r>
      <rPr>
        <sz val="9"/>
        <color theme="1"/>
        <rFont val="Times New Roman"/>
        <family val="1"/>
      </rPr>
      <t>2</t>
    </r>
    <r>
      <rPr>
        <sz val="12"/>
        <color theme="1"/>
        <rFont val="Times New Roman"/>
        <family val="2"/>
      </rPr>
      <t>*</t>
    </r>
    <r>
      <rPr>
        <sz val="14"/>
        <color theme="1"/>
        <rFont val="Times New Roman"/>
        <family val="1"/>
      </rPr>
      <t>k</t>
    </r>
    <r>
      <rPr>
        <sz val="10"/>
        <color theme="1"/>
        <rFont val="Times New Roman"/>
        <family val="1"/>
      </rPr>
      <t>пр.г*</t>
    </r>
    <r>
      <rPr>
        <sz val="14"/>
        <color theme="1"/>
        <rFont val="Times New Roman"/>
        <family val="1"/>
      </rPr>
      <t>p/(d)^</t>
    </r>
    <r>
      <rPr>
        <sz val="11"/>
        <color theme="1"/>
        <rFont val="Times New Roman"/>
        <family val="1"/>
      </rPr>
      <t>2</t>
    </r>
    <r>
      <rPr>
        <sz val="14"/>
        <color theme="1"/>
        <rFont val="Times New Roman"/>
        <family val="1"/>
      </rPr>
      <t>*V*COS(α), m</t>
    </r>
  </si>
  <si>
    <t>طبقة رمل نقي طبيعي/او طبقة كلسية مفتتة</t>
  </si>
  <si>
    <t>صخر كلسي</t>
  </si>
  <si>
    <t xml:space="preserve">دراسة المنشأة النفقية لمشروع الخزانات المائية3(الانفاق الاضافية) </t>
  </si>
  <si>
    <t xml:space="preserve">1- </t>
  </si>
  <si>
    <t>نوع ومواصفات القنبلة المستخدمة:</t>
  </si>
  <si>
    <t>الى الهيكل</t>
  </si>
  <si>
    <t>نسبة طول الحشوة</t>
  </si>
  <si>
    <t>نسبة طول الراس</t>
  </si>
  <si>
    <t>الحربي ال القطر</t>
  </si>
  <si>
    <t>وزن الحشوة,كغ</t>
  </si>
  <si>
    <t xml:space="preserve"> ,V=</t>
  </si>
  <si>
    <t>م/ثا</t>
  </si>
  <si>
    <t>درجة</t>
  </si>
  <si>
    <t>2-</t>
  </si>
  <si>
    <t>نوع ومواصفات التربة</t>
  </si>
  <si>
    <t>تسمية التربة</t>
  </si>
  <si>
    <t>معامل التصدع</t>
  </si>
  <si>
    <t>المواجه</t>
  </si>
  <si>
    <t>العكسي</t>
  </si>
  <si>
    <t>عامل تجريبي1</t>
  </si>
  <si>
    <t>عامل تجريبي2</t>
  </si>
  <si>
    <t xml:space="preserve">سرعة المواج </t>
  </si>
  <si>
    <t>الطولية المرنة</t>
  </si>
  <si>
    <t>السرعة الابتدائية للقنبلة</t>
  </si>
  <si>
    <t>زاوية سقوط القنبلة</t>
  </si>
  <si>
    <t xml:space="preserve">نسبة </t>
  </si>
  <si>
    <t>a0, م/ثا</t>
  </si>
  <si>
    <t>3-</t>
  </si>
  <si>
    <t>مواصفات البيتون وحديد التسليح</t>
  </si>
  <si>
    <t>معامل مرونة</t>
  </si>
  <si>
    <t>الحديد كغ/سم2</t>
  </si>
  <si>
    <t>مقاومة الشد حد</t>
  </si>
  <si>
    <t>السيولة كغ/سم2</t>
  </si>
  <si>
    <t xml:space="preserve">مقاومة الضغط </t>
  </si>
  <si>
    <t>للبيتون كغ/سم2</t>
  </si>
  <si>
    <t xml:space="preserve">4- </t>
  </si>
  <si>
    <t>ابعاد المنشأة</t>
  </si>
  <si>
    <t>عرض,م</t>
  </si>
  <si>
    <t>طول,م</t>
  </si>
  <si>
    <t>ارتفاع,م</t>
  </si>
  <si>
    <t>سماكة السقف</t>
  </si>
  <si>
    <t>الاولية</t>
  </si>
  <si>
    <t xml:space="preserve">سماكة الجدران </t>
  </si>
  <si>
    <t>سماكة الارضية</t>
  </si>
  <si>
    <t>نسبة التسليح</t>
  </si>
  <si>
    <t>الحسابات:</t>
  </si>
  <si>
    <t xml:space="preserve"> λ1= 0.5+0.4*(lгч/d)^0.666</t>
  </si>
  <si>
    <t>n ={3.5 -lгч/d)</t>
  </si>
  <si>
    <t>lᴈ=dᴈ*(lᴈ/dᴈ)=0.95dk*(lᴈ/dᴈ)</t>
  </si>
  <si>
    <t>حساب الزمن الكلي لتأثير الموجة (τ)</t>
  </si>
  <si>
    <t>حساب الزمن الفعال لتأثير الموجة (τэф)</t>
  </si>
  <si>
    <t>حساب الزمن التصاعدي لقيمة الضغط في الموجة τн</t>
  </si>
  <si>
    <t>حساب قيمة التواتر(الاهتزاز) ω</t>
  </si>
  <si>
    <t xml:space="preserve">حساب الحمولة الحسابية Pp </t>
  </si>
  <si>
    <r>
      <rPr>
        <sz val="14"/>
        <color theme="1"/>
        <rFont val="Times New Roman"/>
        <family val="1"/>
      </rPr>
      <t>ا</t>
    </r>
    <r>
      <rPr>
        <b/>
        <sz val="14"/>
        <color theme="1"/>
        <rFont val="Times New Roman"/>
        <family val="1"/>
      </rPr>
      <t>لمعطيات الاساسية:</t>
    </r>
  </si>
  <si>
    <r>
      <t>ت</t>
    </r>
    <r>
      <rPr>
        <b/>
        <sz val="12"/>
        <color theme="1"/>
        <rFont val="Times New Roman"/>
        <family val="1"/>
      </rPr>
      <t>حديد عمق الاختراق في التربة</t>
    </r>
  </si>
  <si>
    <t>me.д=(H*γг)/(9.81)</t>
  </si>
  <si>
    <r>
      <t>Pct =</t>
    </r>
    <r>
      <rPr>
        <sz val="16"/>
        <rFont val="Times New Roman"/>
        <family val="2"/>
      </rPr>
      <t>m</t>
    </r>
    <r>
      <rPr>
        <sz val="12"/>
        <rFont val="Times New Roman"/>
        <family val="2"/>
      </rPr>
      <t>eд*9.81/10000</t>
    </r>
  </si>
  <si>
    <t xml:space="preserve"> maxбв=A*(R־)^-n1</t>
  </si>
  <si>
    <t xml:space="preserve"> = τ*(0.0008*((maxбв)^2)-0.0384*maxбв +1.0013)</t>
  </si>
  <si>
    <t>τэф =</t>
  </si>
  <si>
    <t>τн =</t>
  </si>
  <si>
    <t>ثانية</t>
  </si>
  <si>
    <t>سم</t>
  </si>
  <si>
    <t xml:space="preserve">العزم في السقف </t>
  </si>
  <si>
    <t>طن . م</t>
  </si>
  <si>
    <t>العزم في الجدران</t>
  </si>
  <si>
    <t>Mw</t>
  </si>
  <si>
    <t>Ms=</t>
  </si>
  <si>
    <t>سالب</t>
  </si>
  <si>
    <t>حساب سماكة المقطع</t>
  </si>
  <si>
    <t>للسقف م</t>
  </si>
  <si>
    <t>للجدار م</t>
  </si>
  <si>
    <t>B=0.85*Ea*Fa.s*(h0-x)(h0-0.5x)</t>
  </si>
  <si>
    <t>Fa.s =100cm*h0cm*نسبة التسليح</t>
  </si>
  <si>
    <t>cm</t>
  </si>
  <si>
    <t>cm2</t>
  </si>
  <si>
    <t>كغ.سم2</t>
  </si>
  <si>
    <r>
      <t>me.д=(Hn*γ</t>
    </r>
    <r>
      <rPr>
        <sz val="12"/>
        <color rgb="FFFF0000"/>
        <rFont val="Times New Roman"/>
        <family val="1"/>
      </rPr>
      <t>b</t>
    </r>
    <r>
      <rPr>
        <sz val="12"/>
        <color rgb="FFFF0000"/>
        <rFont val="Times New Roman"/>
        <family val="2"/>
      </rPr>
      <t>)/(9.81)</t>
    </r>
  </si>
  <si>
    <t>كغ ثا2/سم3</t>
  </si>
  <si>
    <t xml:space="preserve">x=(Rsd*Fas)/(Rbd*100) </t>
  </si>
  <si>
    <t>Pct =(Z*γ)/10000</t>
  </si>
  <si>
    <t>من حسابات برنامج بلاكسيس العزوم المحسوبة كالاتي )حالة وثاقة بينن الجدار والسقف):</t>
  </si>
  <si>
    <t>من حسابات برنامج بلاكسيس العزوم المحسوبة كالاتي )حالة مفصل بينن الجدار والسقف):</t>
  </si>
  <si>
    <r>
      <t>سماكة الجدار = h</t>
    </r>
    <r>
      <rPr>
        <sz val="8"/>
        <color theme="1"/>
        <rFont val="Times New Roman"/>
        <family val="1"/>
      </rPr>
      <t>0</t>
    </r>
    <r>
      <rPr>
        <sz val="12"/>
        <color theme="1"/>
        <rFont val="Times New Roman"/>
        <family val="2"/>
      </rPr>
      <t xml:space="preserve">*1.05= </t>
    </r>
  </si>
  <si>
    <r>
      <t>سماكة السقف = h</t>
    </r>
    <r>
      <rPr>
        <sz val="8"/>
        <color theme="1"/>
        <rFont val="Times New Roman"/>
        <family val="1"/>
      </rPr>
      <t>0</t>
    </r>
    <r>
      <rPr>
        <sz val="12"/>
        <color theme="1"/>
        <rFont val="Times New Roman"/>
        <family val="2"/>
      </rPr>
      <t xml:space="preserve">*1.05= </t>
    </r>
  </si>
  <si>
    <r>
      <t>h</t>
    </r>
    <r>
      <rPr>
        <sz val="8"/>
        <color theme="1"/>
        <rFont val="Times New Roman"/>
        <family val="1"/>
      </rPr>
      <t>0</t>
    </r>
    <r>
      <rPr>
        <sz val="12"/>
        <color theme="1"/>
        <rFont val="Times New Roman"/>
        <family val="2"/>
      </rPr>
      <t xml:space="preserve"> =(Ms/0.94*0.009*Rsd)^0.5</t>
    </r>
  </si>
  <si>
    <r>
      <t>h</t>
    </r>
    <r>
      <rPr>
        <sz val="8"/>
        <color theme="1"/>
        <rFont val="Times New Roman"/>
        <family val="1"/>
      </rPr>
      <t>0</t>
    </r>
    <r>
      <rPr>
        <sz val="12"/>
        <color theme="1"/>
        <rFont val="Times New Roman"/>
        <family val="2"/>
      </rPr>
      <t xml:space="preserve"> =(Mw/0.94*0.009*Rsd)^0.5</t>
    </r>
  </si>
  <si>
    <t>مساحة التسليح للسقف</t>
  </si>
  <si>
    <t>نعتمد سماكة الجدار والسقف                     40سم ,  والعزم للسقف 24 ونقوم بحساب مساحة التسليح</t>
  </si>
  <si>
    <t xml:space="preserve"> العزم للسقف</t>
  </si>
  <si>
    <t>العزم للجدار</t>
  </si>
  <si>
    <t>طن.م</t>
  </si>
  <si>
    <t xml:space="preserve">   سم ونعتمد </t>
  </si>
  <si>
    <t>As =Ms/0.94*h0*Rsd</t>
  </si>
  <si>
    <t>سم2</t>
  </si>
  <si>
    <t>As =Mw/0.94*h0*Rsd</t>
  </si>
  <si>
    <t>مساحة التسليح للجدار</t>
  </si>
  <si>
    <t>نعتمدة10 قضبان حديد قطر 14مم موزعة على طبقتين للسقف</t>
  </si>
  <si>
    <t>نعتمد 10 قضبان حديد قطر 12مم موزعة على طبقتين في الجدار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</si>
</sst>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2"/>
      <color theme="1"/>
      <name val="Times New Roman"/>
      <family val="2"/>
    </font>
    <font>
      <sz val="12"/>
      <color theme="1"/>
      <name val="Times New Roman"/>
      <family val="1"/>
    </font>
    <font>
      <sz val="10"/>
      <color theme="1"/>
      <name val="Times New Roman"/>
      <family val="1"/>
    </font>
    <font>
      <sz val="16"/>
      <color theme="1"/>
      <name val="Times New Roman"/>
      <family val="1"/>
    </font>
    <font>
      <sz val="9"/>
      <color theme="1"/>
      <name val="Times New Roman"/>
      <family val="1"/>
    </font>
    <font>
      <b/>
      <sz val="10"/>
      <color theme="1"/>
      <name val="Times New Roman"/>
      <family val="1"/>
    </font>
    <font>
      <b/>
      <sz val="12"/>
      <color theme="1"/>
      <name val="Times New Roman"/>
      <family val="1"/>
    </font>
    <font>
      <b/>
      <sz val="16"/>
      <color theme="1"/>
      <name val="Times New Roman"/>
      <family val="1"/>
    </font>
    <font>
      <sz val="10"/>
      <color theme="1"/>
      <name val="Times New Roman"/>
      <family val="2"/>
    </font>
    <font>
      <b/>
      <sz val="9"/>
      <color theme="1"/>
      <name val="Times New Roman"/>
      <family val="1"/>
    </font>
    <font>
      <b/>
      <sz val="16"/>
      <color rgb="FFFF0000"/>
      <name val="Times New Roman"/>
      <family val="1"/>
    </font>
    <font>
      <b/>
      <sz val="16"/>
      <color rgb="FFFFFF00"/>
      <name val="Times New Roman"/>
      <family val="1"/>
    </font>
    <font>
      <b/>
      <sz val="10"/>
      <color rgb="FFFFFF00"/>
      <name val="Times New Roman"/>
      <family val="1"/>
    </font>
    <font>
      <b/>
      <sz val="11"/>
      <color theme="1"/>
      <name val="Times New Roman"/>
      <family val="1"/>
    </font>
    <font>
      <b/>
      <sz val="14"/>
      <color theme="1"/>
      <name val="Times New Roman"/>
      <family val="1"/>
    </font>
    <font>
      <sz val="11"/>
      <color theme="1"/>
      <name val="Times New Roman"/>
      <family val="1"/>
    </font>
    <font>
      <b/>
      <sz val="8"/>
      <color theme="1"/>
      <name val="Times New Roman"/>
      <family val="1"/>
    </font>
    <font>
      <sz val="14"/>
      <color theme="1"/>
      <name val="Times New Roman"/>
      <family val="1"/>
    </font>
    <font>
      <sz val="8"/>
      <color theme="1"/>
      <name val="Times New Roman"/>
      <family val="1"/>
    </font>
    <font>
      <b/>
      <sz val="12"/>
      <name val="Times New Roman"/>
      <family val="1"/>
    </font>
    <font>
      <b/>
      <sz val="10"/>
      <color rgb="FFFF0000"/>
      <name val="Times New Roman"/>
      <family val="1"/>
    </font>
    <font>
      <sz val="12"/>
      <color rgb="FFFF0000"/>
      <name val="Times New Roman"/>
      <family val="2"/>
    </font>
    <font>
      <b/>
      <sz val="12"/>
      <color rgb="FFFF0000"/>
      <name val="Times New Roman"/>
      <family val="1"/>
    </font>
    <font>
      <sz val="12"/>
      <color rgb="FFFF0000"/>
      <name val="Times New Roman"/>
      <family val="1"/>
    </font>
    <font>
      <b/>
      <sz val="10"/>
      <name val="Times New Roman"/>
      <family val="1"/>
    </font>
    <font>
      <b/>
      <sz val="11"/>
      <color rgb="FFFF0000"/>
      <name val="Times New Roman"/>
      <family val="1"/>
    </font>
    <font>
      <sz val="12"/>
      <color rgb="FFFFFF00"/>
      <name val="Times New Roman"/>
      <family val="2"/>
    </font>
    <font>
      <b/>
      <sz val="12"/>
      <color rgb="FFFFFF00"/>
      <name val="Times New Roman"/>
      <family val="2"/>
    </font>
    <font>
      <b/>
      <sz val="11"/>
      <color rgb="FFFFFF00"/>
      <name val="Times New Roman"/>
      <family val="1"/>
    </font>
    <font>
      <b/>
      <sz val="12"/>
      <color theme="9" tint="0.59999389629810485"/>
      <name val="Times New Roman"/>
      <family val="1"/>
    </font>
    <font>
      <b/>
      <sz val="12"/>
      <color rgb="FFFFFF00"/>
      <name val="Times New Roman"/>
      <family val="1"/>
    </font>
    <font>
      <sz val="12"/>
      <name val="Times New Roman"/>
      <family val="1"/>
    </font>
    <font>
      <sz val="16"/>
      <name val="Times New Roman"/>
      <family val="1"/>
    </font>
    <font>
      <sz val="10"/>
      <name val="Times New Roman"/>
      <family val="1"/>
    </font>
    <font>
      <b/>
      <sz val="16"/>
      <name val="Times New Roman"/>
      <family val="1"/>
    </font>
    <font>
      <b/>
      <sz val="9"/>
      <name val="Times New Roman"/>
      <family val="1"/>
    </font>
    <font>
      <b/>
      <sz val="14"/>
      <name val="Times New Roman"/>
      <family val="1"/>
    </font>
    <font>
      <b/>
      <sz val="8"/>
      <name val="Times New Roman"/>
      <family val="1"/>
    </font>
    <font>
      <sz val="9"/>
      <name val="Times New Roman"/>
      <family val="1"/>
    </font>
    <font>
      <sz val="14"/>
      <name val="Times New Roman"/>
      <family val="1"/>
    </font>
    <font>
      <sz val="12"/>
      <color rgb="FFFFFF00"/>
      <name val="Times New Roman"/>
      <family val="1"/>
    </font>
    <font>
      <sz val="12"/>
      <name val="Times New Roman"/>
      <family val="2"/>
    </font>
    <font>
      <sz val="16"/>
      <name val="Times New Roman"/>
      <family val="2"/>
    </font>
    <font>
      <sz val="11"/>
      <color theme="1"/>
      <name val="Times New Roman"/>
      <family val="2"/>
    </font>
    <font>
      <b/>
      <sz val="11"/>
      <name val="Times New Roman"/>
      <family val="1"/>
    </font>
  </fonts>
  <fills count="2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1" tint="0.14999847407452621"/>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1"/>
        <bgColor indexed="64"/>
      </patternFill>
    </fill>
    <fill>
      <patternFill patternType="solid">
        <fgColor rgb="FF00B0F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0000"/>
        <bgColor indexed="64"/>
      </patternFill>
    </fill>
    <fill>
      <patternFill patternType="solid">
        <fgColor theme="0" tint="-0.499984740745262"/>
        <bgColor indexed="64"/>
      </patternFill>
    </fill>
    <fill>
      <patternFill patternType="solid">
        <fgColor rgb="FF00B050"/>
        <bgColor indexed="64"/>
      </patternFill>
    </fill>
    <fill>
      <patternFill patternType="solid">
        <fgColor theme="6"/>
        <bgColor indexed="64"/>
      </patternFill>
    </fill>
    <fill>
      <patternFill patternType="solid">
        <fgColor theme="0"/>
        <bgColor indexed="64"/>
      </patternFill>
    </fill>
    <fill>
      <patternFill patternType="solid">
        <fgColor theme="8" tint="-0.499984740745262"/>
        <bgColor indexed="64"/>
      </patternFill>
    </fill>
    <fill>
      <patternFill patternType="solid">
        <fgColor theme="1" tint="4.9989318521683403E-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3" tint="-0.249977111117893"/>
        <bgColor indexed="64"/>
      </patternFill>
    </fill>
    <fill>
      <patternFill patternType="solid">
        <fgColor theme="4" tint="-0.499984740745262"/>
        <bgColor indexed="64"/>
      </patternFill>
    </fill>
    <fill>
      <patternFill patternType="solid">
        <fgColor rgb="FF7030A0"/>
        <bgColor indexed="64"/>
      </patternFill>
    </fill>
    <fill>
      <patternFill patternType="solid">
        <fgColor theme="3" tint="-0.499984740745262"/>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bottom/>
      <diagonal/>
    </border>
    <border>
      <left/>
      <right/>
      <top style="medium">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bottom/>
      <diagonal/>
    </border>
    <border>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thick">
        <color indexed="64"/>
      </left>
      <right style="thin">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ck">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top/>
      <bottom style="thin">
        <color indexed="64"/>
      </bottom>
      <diagonal/>
    </border>
    <border>
      <left/>
      <right style="thick">
        <color indexed="64"/>
      </right>
      <top/>
      <bottom style="thin">
        <color indexed="64"/>
      </bottom>
      <diagonal/>
    </border>
    <border>
      <left style="thin">
        <color indexed="64"/>
      </left>
      <right/>
      <top style="thin">
        <color indexed="64"/>
      </top>
      <bottom/>
      <diagonal/>
    </border>
    <border>
      <left/>
      <right style="thick">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ck">
        <color indexed="64"/>
      </right>
      <top style="thin">
        <color indexed="64"/>
      </top>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style="thick">
        <color indexed="64"/>
      </left>
      <right/>
      <top/>
      <bottom/>
      <diagonal/>
    </border>
  </borders>
  <cellStyleXfs count="1">
    <xf numFmtId="0" fontId="0" fillId="0" borderId="0"/>
  </cellStyleXfs>
  <cellXfs count="599">
    <xf numFmtId="0" fontId="0" fillId="0" borderId="0" xfId="0"/>
    <xf numFmtId="0" fontId="0" fillId="0" borderId="0" xfId="0" applyAlignment="1">
      <alignment horizontal="center"/>
    </xf>
    <xf numFmtId="0" fontId="0" fillId="2" borderId="11" xfId="0" applyFill="1" applyBorder="1" applyAlignment="1">
      <alignment horizontal="center"/>
    </xf>
    <xf numFmtId="0" fontId="0" fillId="0" borderId="0" xfId="0" applyAlignment="1">
      <alignment horizontal="right"/>
    </xf>
    <xf numFmtId="0" fontId="1" fillId="0" borderId="0" xfId="0" applyFont="1" applyAlignment="1">
      <alignment horizontal="left"/>
    </xf>
    <xf numFmtId="0" fontId="0" fillId="2" borderId="12" xfId="0" applyFill="1" applyBorder="1" applyAlignment="1">
      <alignment horizontal="center"/>
    </xf>
    <xf numFmtId="16" fontId="0" fillId="0" borderId="0" xfId="0" applyNumberFormat="1"/>
    <xf numFmtId="11" fontId="0" fillId="0" borderId="0" xfId="0" applyNumberFormat="1" applyAlignment="1">
      <alignment readingOrder="2"/>
    </xf>
    <xf numFmtId="0" fontId="0" fillId="5" borderId="0" xfId="0" applyFill="1"/>
    <xf numFmtId="0" fontId="8" fillId="6" borderId="0" xfId="0" applyFont="1" applyFill="1"/>
    <xf numFmtId="0" fontId="5" fillId="6" borderId="0" xfId="0" applyFont="1" applyFill="1"/>
    <xf numFmtId="0" fontId="0" fillId="6" borderId="0" xfId="0" applyFill="1"/>
    <xf numFmtId="0" fontId="6" fillId="0" borderId="0" xfId="0" applyFont="1" applyAlignment="1">
      <alignment horizontal="center"/>
    </xf>
    <xf numFmtId="0" fontId="0" fillId="4" borderId="12" xfId="0" applyFill="1" applyBorder="1" applyAlignment="1">
      <alignment horizontal="center"/>
    </xf>
    <xf numFmtId="0" fontId="6" fillId="4" borderId="12" xfId="0" applyFont="1" applyFill="1" applyBorder="1" applyAlignment="1">
      <alignment horizontal="center"/>
    </xf>
    <xf numFmtId="0" fontId="0" fillId="2" borderId="12" xfId="0" applyFill="1" applyBorder="1"/>
    <xf numFmtId="0" fontId="0" fillId="7" borderId="0" xfId="0" applyFill="1"/>
    <xf numFmtId="0" fontId="6" fillId="2" borderId="12" xfId="0" applyFont="1" applyFill="1" applyBorder="1" applyAlignment="1">
      <alignment horizontal="center"/>
    </xf>
    <xf numFmtId="0" fontId="0" fillId="9" borderId="1" xfId="0" applyFill="1" applyBorder="1"/>
    <xf numFmtId="0" fontId="1" fillId="9" borderId="1" xfId="0" applyFont="1" applyFill="1" applyBorder="1"/>
    <xf numFmtId="0" fontId="0" fillId="9" borderId="18" xfId="0" applyFill="1" applyBorder="1"/>
    <xf numFmtId="0" fontId="0" fillId="8" borderId="1" xfId="0" applyFill="1" applyBorder="1"/>
    <xf numFmtId="0" fontId="1" fillId="8" borderId="1" xfId="0" applyFont="1" applyFill="1" applyBorder="1" applyAlignment="1">
      <alignment horizontal="center"/>
    </xf>
    <xf numFmtId="0" fontId="0" fillId="6" borderId="1" xfId="0" applyFill="1" applyBorder="1"/>
    <xf numFmtId="0" fontId="0" fillId="6" borderId="1" xfId="0" applyFill="1" applyBorder="1" applyAlignment="1">
      <alignment horizontal="center"/>
    </xf>
    <xf numFmtId="0" fontId="6" fillId="0" borderId="1" xfId="0" applyFont="1" applyBorder="1" applyAlignment="1">
      <alignment horizontal="center"/>
    </xf>
    <xf numFmtId="0" fontId="0" fillId="10" borderId="0" xfId="0" applyFill="1"/>
    <xf numFmtId="0" fontId="0" fillId="0" borderId="8" xfId="0" applyBorder="1"/>
    <xf numFmtId="0" fontId="0" fillId="0" borderId="24" xfId="0" applyBorder="1"/>
    <xf numFmtId="0" fontId="0" fillId="0" borderId="25" xfId="0" applyBorder="1"/>
    <xf numFmtId="0" fontId="0" fillId="0" borderId="1" xfId="0" applyBorder="1"/>
    <xf numFmtId="0" fontId="6" fillId="3" borderId="26" xfId="0" applyFont="1" applyFill="1" applyBorder="1" applyAlignment="1">
      <alignment horizontal="left"/>
    </xf>
    <xf numFmtId="0" fontId="0" fillId="0" borderId="0" xfId="0" applyAlignment="1">
      <alignment horizontal="center" vertical="center"/>
    </xf>
    <xf numFmtId="0" fontId="19" fillId="11" borderId="1" xfId="0" applyFont="1" applyFill="1" applyBorder="1" applyAlignment="1">
      <alignment horizontal="center"/>
    </xf>
    <xf numFmtId="0" fontId="0" fillId="11" borderId="1" xfId="0" applyFill="1" applyBorder="1"/>
    <xf numFmtId="0" fontId="0" fillId="0" borderId="18" xfId="0" applyBorder="1"/>
    <xf numFmtId="0" fontId="6" fillId="3" borderId="12" xfId="0" applyFont="1" applyFill="1" applyBorder="1" applyAlignment="1">
      <alignment horizontal="left"/>
    </xf>
    <xf numFmtId="0" fontId="5" fillId="0" borderId="0" xfId="0" applyFont="1"/>
    <xf numFmtId="0" fontId="20" fillId="0" borderId="0" xfId="0" applyFont="1"/>
    <xf numFmtId="0" fontId="6" fillId="0" borderId="0" xfId="0" applyFont="1"/>
    <xf numFmtId="0" fontId="5" fillId="0" borderId="32" xfId="0" applyFont="1" applyBorder="1"/>
    <xf numFmtId="0" fontId="5" fillId="0" borderId="12" xfId="0" applyFont="1" applyBorder="1"/>
    <xf numFmtId="0" fontId="14" fillId="3" borderId="9" xfId="0" applyFont="1" applyFill="1" applyBorder="1" applyAlignment="1">
      <alignment horizontal="right"/>
    </xf>
    <xf numFmtId="0" fontId="0" fillId="12" borderId="0" xfId="0" applyFill="1"/>
    <xf numFmtId="0" fontId="6" fillId="3" borderId="12" xfId="0" applyFont="1" applyFill="1" applyBorder="1" applyAlignment="1">
      <alignment horizontal="center"/>
    </xf>
    <xf numFmtId="0" fontId="0" fillId="0" borderId="12" xfId="0" applyBorder="1"/>
    <xf numFmtId="0" fontId="0" fillId="0" borderId="17" xfId="0" applyBorder="1"/>
    <xf numFmtId="0" fontId="0" fillId="0" borderId="1" xfId="0" applyBorder="1" applyAlignment="1">
      <alignment horizontal="right"/>
    </xf>
    <xf numFmtId="0" fontId="0" fillId="3" borderId="0" xfId="0" applyFill="1"/>
    <xf numFmtId="0" fontId="0" fillId="3" borderId="1" xfId="0" applyFill="1" applyBorder="1"/>
    <xf numFmtId="0" fontId="0" fillId="13" borderId="0" xfId="0" applyFill="1"/>
    <xf numFmtId="0" fontId="0" fillId="14" borderId="0" xfId="0" applyFill="1"/>
    <xf numFmtId="0" fontId="6" fillId="3" borderId="11" xfId="0" applyFont="1" applyFill="1" applyBorder="1" applyAlignment="1">
      <alignment horizontal="center"/>
    </xf>
    <xf numFmtId="0" fontId="1" fillId="0" borderId="1" xfId="0" applyFont="1" applyBorder="1" applyAlignment="1">
      <alignment horizontal="right"/>
    </xf>
    <xf numFmtId="0" fontId="14" fillId="0" borderId="0" xfId="0" applyFont="1"/>
    <xf numFmtId="0" fontId="6" fillId="0" borderId="12" xfId="0" applyFont="1" applyBorder="1" applyAlignment="1">
      <alignment horizontal="center"/>
    </xf>
    <xf numFmtId="16" fontId="6" fillId="3" borderId="11" xfId="0" applyNumberFormat="1" applyFont="1" applyFill="1" applyBorder="1" applyAlignment="1">
      <alignment horizontal="center"/>
    </xf>
    <xf numFmtId="0" fontId="0" fillId="2" borderId="1" xfId="0" applyFill="1" applyBorder="1" applyAlignment="1">
      <alignment horizontal="center"/>
    </xf>
    <xf numFmtId="0" fontId="5" fillId="2" borderId="1" xfId="0" applyFont="1" applyFill="1" applyBorder="1" applyAlignment="1">
      <alignment horizontal="center"/>
    </xf>
    <xf numFmtId="0" fontId="0" fillId="2" borderId="25" xfId="0" applyFill="1" applyBorder="1" applyAlignment="1">
      <alignment horizontal="center"/>
    </xf>
    <xf numFmtId="0" fontId="0" fillId="16" borderId="0" xfId="0" applyFill="1"/>
    <xf numFmtId="0" fontId="6" fillId="3" borderId="9" xfId="0" applyFont="1" applyFill="1" applyBorder="1" applyAlignment="1">
      <alignment horizontal="center"/>
    </xf>
    <xf numFmtId="0" fontId="0" fillId="8" borderId="1" xfId="0" applyFill="1" applyBorder="1" applyAlignment="1">
      <alignment horizontal="center"/>
    </xf>
    <xf numFmtId="0" fontId="5" fillId="6" borderId="1" xfId="0" applyFont="1" applyFill="1" applyBorder="1" applyAlignment="1">
      <alignment horizontal="center"/>
    </xf>
    <xf numFmtId="0" fontId="21" fillId="3" borderId="1" xfId="0" applyFont="1" applyFill="1" applyBorder="1"/>
    <xf numFmtId="0" fontId="22" fillId="3" borderId="11" xfId="0" applyFont="1" applyFill="1" applyBorder="1"/>
    <xf numFmtId="0" fontId="19" fillId="3" borderId="12" xfId="0" applyFont="1" applyFill="1" applyBorder="1"/>
    <xf numFmtId="0" fontId="21" fillId="0" borderId="1" xfId="0" applyFont="1" applyBorder="1"/>
    <xf numFmtId="0" fontId="0" fillId="0" borderId="10" xfId="0" applyBorder="1"/>
    <xf numFmtId="0" fontId="0" fillId="0" borderId="11" xfId="0" applyBorder="1"/>
    <xf numFmtId="0" fontId="0" fillId="17" borderId="16" xfId="0" applyFill="1" applyBorder="1"/>
    <xf numFmtId="0" fontId="6" fillId="17" borderId="22" xfId="0" applyFont="1" applyFill="1" applyBorder="1"/>
    <xf numFmtId="0" fontId="6" fillId="17" borderId="28" xfId="0" applyFont="1" applyFill="1" applyBorder="1"/>
    <xf numFmtId="0" fontId="0" fillId="17" borderId="13" xfId="0" applyFill="1" applyBorder="1"/>
    <xf numFmtId="0" fontId="6" fillId="17" borderId="14" xfId="0" applyFont="1" applyFill="1" applyBorder="1"/>
    <xf numFmtId="0" fontId="6" fillId="17" borderId="15" xfId="0" applyFont="1" applyFill="1" applyBorder="1"/>
    <xf numFmtId="0" fontId="6" fillId="5" borderId="0" xfId="0" applyFont="1" applyFill="1"/>
    <xf numFmtId="0" fontId="5" fillId="0" borderId="1" xfId="0" applyFont="1" applyBorder="1" applyAlignment="1">
      <alignment horizontal="center"/>
    </xf>
    <xf numFmtId="0" fontId="13" fillId="0" borderId="1" xfId="0" applyFont="1" applyBorder="1" applyAlignment="1">
      <alignment horizontal="center"/>
    </xf>
    <xf numFmtId="0" fontId="13" fillId="0" borderId="25" xfId="0" applyFont="1" applyBorder="1" applyAlignment="1">
      <alignment horizontal="center"/>
    </xf>
    <xf numFmtId="0" fontId="13" fillId="14" borderId="1" xfId="0" applyFont="1" applyFill="1" applyBorder="1" applyAlignment="1">
      <alignment horizontal="center"/>
    </xf>
    <xf numFmtId="0" fontId="13" fillId="2" borderId="1" xfId="0" applyFont="1" applyFill="1" applyBorder="1" applyAlignment="1">
      <alignment horizontal="center"/>
    </xf>
    <xf numFmtId="0" fontId="5" fillId="0" borderId="3" xfId="0" applyFont="1" applyBorder="1" applyAlignment="1">
      <alignment horizontal="center"/>
    </xf>
    <xf numFmtId="0" fontId="5" fillId="2" borderId="3" xfId="0" applyFont="1" applyFill="1" applyBorder="1" applyAlignment="1">
      <alignment horizontal="center"/>
    </xf>
    <xf numFmtId="0" fontId="13" fillId="14" borderId="42" xfId="0" applyFont="1" applyFill="1" applyBorder="1" applyAlignment="1">
      <alignment horizontal="center"/>
    </xf>
    <xf numFmtId="0" fontId="5" fillId="0" borderId="6" xfId="0" applyFont="1" applyBorder="1" applyAlignment="1">
      <alignment horizontal="center"/>
    </xf>
    <xf numFmtId="0" fontId="13" fillId="2" borderId="6" xfId="0" applyFont="1" applyFill="1" applyBorder="1" applyAlignment="1">
      <alignment horizontal="center"/>
    </xf>
    <xf numFmtId="0" fontId="13" fillId="0" borderId="6" xfId="0" applyFont="1" applyBorder="1" applyAlignment="1">
      <alignment horizontal="center"/>
    </xf>
    <xf numFmtId="0" fontId="13" fillId="14" borderId="6" xfId="0" applyFont="1" applyFill="1" applyBorder="1" applyAlignment="1">
      <alignment horizontal="center"/>
    </xf>
    <xf numFmtId="0" fontId="13" fillId="14" borderId="43" xfId="0" applyFont="1" applyFill="1" applyBorder="1" applyAlignment="1">
      <alignment horizontal="center"/>
    </xf>
    <xf numFmtId="0" fontId="13" fillId="0" borderId="18" xfId="0" applyFont="1" applyBorder="1" applyAlignment="1">
      <alignment horizontal="center"/>
    </xf>
    <xf numFmtId="0" fontId="13" fillId="2" borderId="18" xfId="0" applyFont="1" applyFill="1" applyBorder="1" applyAlignment="1">
      <alignment horizontal="center"/>
    </xf>
    <xf numFmtId="0" fontId="1" fillId="6" borderId="0" xfId="0" applyFont="1" applyFill="1"/>
    <xf numFmtId="0" fontId="5" fillId="2" borderId="17" xfId="0" applyFont="1" applyFill="1" applyBorder="1" applyAlignment="1">
      <alignment horizontal="center"/>
    </xf>
    <xf numFmtId="0" fontId="6" fillId="2" borderId="9" xfId="0" applyFont="1" applyFill="1" applyBorder="1" applyAlignment="1">
      <alignment horizontal="center"/>
    </xf>
    <xf numFmtId="0" fontId="5" fillId="6" borderId="8" xfId="0" applyFont="1" applyFill="1" applyBorder="1" applyAlignment="1">
      <alignment horizontal="center"/>
    </xf>
    <xf numFmtId="0" fontId="6" fillId="0" borderId="8" xfId="0" applyFont="1" applyBorder="1" applyAlignment="1">
      <alignment horizontal="center"/>
    </xf>
    <xf numFmtId="0" fontId="0" fillId="0" borderId="26" xfId="0" applyBorder="1"/>
    <xf numFmtId="0" fontId="0" fillId="0" borderId="34" xfId="0" applyBorder="1"/>
    <xf numFmtId="0" fontId="0" fillId="0" borderId="32" xfId="0" applyBorder="1"/>
    <xf numFmtId="0" fontId="0" fillId="0" borderId="44" xfId="0" applyBorder="1"/>
    <xf numFmtId="0" fontId="13" fillId="14" borderId="25" xfId="0" applyFont="1" applyFill="1" applyBorder="1" applyAlignment="1">
      <alignment horizontal="center"/>
    </xf>
    <xf numFmtId="0" fontId="13" fillId="14" borderId="45" xfId="0" applyFont="1" applyFill="1" applyBorder="1" applyAlignment="1">
      <alignment horizontal="center"/>
    </xf>
    <xf numFmtId="0" fontId="0" fillId="8" borderId="25" xfId="0" applyFill="1" applyBorder="1"/>
    <xf numFmtId="0" fontId="6" fillId="15" borderId="1" xfId="0" applyFont="1" applyFill="1" applyBorder="1" applyAlignment="1">
      <alignment horizontal="right"/>
    </xf>
    <xf numFmtId="0" fontId="6" fillId="15" borderId="25" xfId="0" applyFont="1" applyFill="1" applyBorder="1" applyAlignment="1">
      <alignment horizontal="right"/>
    </xf>
    <xf numFmtId="0" fontId="6" fillId="0" borderId="17" xfId="0" applyFont="1" applyBorder="1" applyAlignment="1">
      <alignment horizontal="center"/>
    </xf>
    <xf numFmtId="0" fontId="6" fillId="13" borderId="17" xfId="0" applyFont="1" applyFill="1" applyBorder="1" applyAlignment="1">
      <alignment horizontal="center"/>
    </xf>
    <xf numFmtId="0" fontId="6" fillId="13" borderId="1" xfId="0" applyFont="1" applyFill="1" applyBorder="1" applyAlignment="1">
      <alignment horizontal="center"/>
    </xf>
    <xf numFmtId="0" fontId="0" fillId="13" borderId="1" xfId="0" applyFill="1" applyBorder="1"/>
    <xf numFmtId="0" fontId="0" fillId="13" borderId="17" xfId="0" applyFill="1" applyBorder="1"/>
    <xf numFmtId="0" fontId="0" fillId="13" borderId="4" xfId="0" applyFill="1" applyBorder="1"/>
    <xf numFmtId="0" fontId="6" fillId="0" borderId="49" xfId="0" applyFont="1" applyBorder="1" applyAlignment="1">
      <alignment horizontal="center"/>
    </xf>
    <xf numFmtId="0" fontId="6" fillId="0" borderId="1" xfId="0" applyFont="1" applyBorder="1" applyAlignment="1">
      <alignment horizontal="left"/>
    </xf>
    <xf numFmtId="0" fontId="0" fillId="0" borderId="27" xfId="0" applyBorder="1"/>
    <xf numFmtId="0" fontId="0" fillId="0" borderId="13" xfId="0" applyBorder="1"/>
    <xf numFmtId="0" fontId="0" fillId="0" borderId="14" xfId="0" applyBorder="1"/>
    <xf numFmtId="0" fontId="0" fillId="0" borderId="15" xfId="0" applyBorder="1"/>
    <xf numFmtId="0" fontId="0" fillId="0" borderId="9" xfId="0" applyBorder="1"/>
    <xf numFmtId="0" fontId="0" fillId="13" borderId="20" xfId="0" applyFill="1" applyBorder="1"/>
    <xf numFmtId="0" fontId="0" fillId="8" borderId="18" xfId="0" applyFill="1" applyBorder="1"/>
    <xf numFmtId="0" fontId="0" fillId="8" borderId="26" xfId="0" applyFill="1" applyBorder="1"/>
    <xf numFmtId="0" fontId="0" fillId="8" borderId="34" xfId="0" applyFill="1" applyBorder="1"/>
    <xf numFmtId="0" fontId="0" fillId="0" borderId="46" xfId="0" applyBorder="1"/>
    <xf numFmtId="0" fontId="6" fillId="15" borderId="1" xfId="0" applyFont="1" applyFill="1" applyBorder="1" applyAlignment="1">
      <alignment horizontal="center"/>
    </xf>
    <xf numFmtId="0" fontId="6" fillId="3" borderId="0" xfId="0" applyFont="1" applyFill="1"/>
    <xf numFmtId="0" fontId="1" fillId="3" borderId="0" xfId="0" applyFont="1" applyFill="1"/>
    <xf numFmtId="0" fontId="6" fillId="15" borderId="9" xfId="0" applyFont="1" applyFill="1" applyBorder="1" applyAlignment="1">
      <alignment horizontal="right"/>
    </xf>
    <xf numFmtId="0" fontId="6" fillId="15" borderId="0" xfId="0" applyFont="1" applyFill="1" applyAlignment="1">
      <alignment horizontal="right"/>
    </xf>
    <xf numFmtId="0" fontId="6" fillId="15" borderId="10" xfId="0" applyFont="1" applyFill="1" applyBorder="1" applyAlignment="1">
      <alignment horizontal="right"/>
    </xf>
    <xf numFmtId="0" fontId="6" fillId="10" borderId="1" xfId="0" applyFont="1" applyFill="1" applyBorder="1"/>
    <xf numFmtId="0" fontId="6" fillId="3" borderId="1" xfId="0" applyFont="1" applyFill="1" applyBorder="1" applyAlignment="1">
      <alignment horizontal="center"/>
    </xf>
    <xf numFmtId="0" fontId="0" fillId="10" borderId="1" xfId="0" applyFill="1" applyBorder="1"/>
    <xf numFmtId="0" fontId="6" fillId="0" borderId="18" xfId="0" applyFont="1" applyBorder="1" applyAlignment="1">
      <alignment horizontal="center"/>
    </xf>
    <xf numFmtId="0" fontId="0" fillId="20" borderId="0" xfId="0" applyFill="1"/>
    <xf numFmtId="0" fontId="6" fillId="15" borderId="1" xfId="0" applyFont="1" applyFill="1" applyBorder="1"/>
    <xf numFmtId="0" fontId="6" fillId="10" borderId="1" xfId="0" applyFont="1" applyFill="1" applyBorder="1" applyAlignment="1">
      <alignment horizontal="center"/>
    </xf>
    <xf numFmtId="0" fontId="13" fillId="0" borderId="0" xfId="0" applyFont="1"/>
    <xf numFmtId="0" fontId="13" fillId="3" borderId="0" xfId="0" applyFont="1" applyFill="1"/>
    <xf numFmtId="0" fontId="6" fillId="4" borderId="1" xfId="0" applyFont="1" applyFill="1" applyBorder="1"/>
    <xf numFmtId="0" fontId="0" fillId="16" borderId="1" xfId="0" applyFill="1" applyBorder="1"/>
    <xf numFmtId="0" fontId="6" fillId="4" borderId="1" xfId="0" applyFont="1" applyFill="1" applyBorder="1" applyAlignment="1">
      <alignment horizontal="right"/>
    </xf>
    <xf numFmtId="0" fontId="6" fillId="17" borderId="1" xfId="0" applyFont="1" applyFill="1" applyBorder="1" applyAlignment="1">
      <alignment horizontal="right"/>
    </xf>
    <xf numFmtId="0" fontId="6" fillId="17" borderId="1" xfId="0" applyFont="1" applyFill="1" applyBorder="1"/>
    <xf numFmtId="0" fontId="6" fillId="0" borderId="1" xfId="0" applyFont="1" applyBorder="1" applyAlignment="1">
      <alignment horizontal="center" vertical="center"/>
    </xf>
    <xf numFmtId="0" fontId="13" fillId="0" borderId="1" xfId="0" applyFont="1" applyBorder="1" applyAlignment="1">
      <alignment horizontal="center" vertical="center"/>
    </xf>
    <xf numFmtId="0" fontId="6" fillId="3" borderId="0" xfId="0" applyFont="1" applyFill="1" applyAlignment="1">
      <alignment horizontal="center" vertical="center"/>
    </xf>
    <xf numFmtId="0" fontId="6" fillId="16" borderId="1" xfId="0" applyFont="1" applyFill="1" applyBorder="1" applyAlignment="1">
      <alignment vertical="center"/>
    </xf>
    <xf numFmtId="0" fontId="0" fillId="21" borderId="0" xfId="0" applyFill="1"/>
    <xf numFmtId="0" fontId="5" fillId="22" borderId="3" xfId="0" applyFont="1" applyFill="1" applyBorder="1"/>
    <xf numFmtId="0" fontId="6" fillId="22" borderId="1" xfId="0" applyFont="1" applyFill="1" applyBorder="1" applyAlignment="1">
      <alignment horizontal="center"/>
    </xf>
    <xf numFmtId="0" fontId="6" fillId="23" borderId="1" xfId="0" applyFont="1" applyFill="1" applyBorder="1" applyAlignment="1">
      <alignment horizontal="center"/>
    </xf>
    <xf numFmtId="0" fontId="6" fillId="23" borderId="1" xfId="0" applyFont="1" applyFill="1" applyBorder="1" applyAlignment="1">
      <alignment vertical="center"/>
    </xf>
    <xf numFmtId="16" fontId="6" fillId="23" borderId="1" xfId="0" applyNumberFormat="1" applyFont="1" applyFill="1" applyBorder="1" applyAlignment="1">
      <alignment horizontal="center" vertical="center"/>
    </xf>
    <xf numFmtId="0" fontId="6" fillId="23" borderId="1" xfId="0" applyFont="1" applyFill="1" applyBorder="1" applyAlignment="1">
      <alignment horizontal="center" vertical="center"/>
    </xf>
    <xf numFmtId="0" fontId="0" fillId="10" borderId="32" xfId="0" applyFill="1" applyBorder="1"/>
    <xf numFmtId="0" fontId="13" fillId="14" borderId="31" xfId="0" applyFont="1" applyFill="1" applyBorder="1" applyAlignment="1">
      <alignment horizontal="center"/>
    </xf>
    <xf numFmtId="0" fontId="5" fillId="0" borderId="18" xfId="0" applyFont="1" applyBorder="1" applyAlignment="1">
      <alignment horizontal="center"/>
    </xf>
    <xf numFmtId="0" fontId="13" fillId="14" borderId="18" xfId="0" applyFont="1" applyFill="1" applyBorder="1" applyAlignment="1">
      <alignment horizontal="center"/>
    </xf>
    <xf numFmtId="0" fontId="13" fillId="14" borderId="53" xfId="0" applyFont="1" applyFill="1" applyBorder="1" applyAlignment="1">
      <alignment horizontal="center"/>
    </xf>
    <xf numFmtId="0" fontId="13" fillId="14" borderId="48" xfId="0" applyFont="1" applyFill="1" applyBorder="1" applyAlignment="1">
      <alignment horizontal="center"/>
    </xf>
    <xf numFmtId="0" fontId="5" fillId="0" borderId="17" xfId="0" applyFont="1" applyBorder="1" applyAlignment="1">
      <alignment horizontal="center"/>
    </xf>
    <xf numFmtId="0" fontId="13" fillId="2" borderId="17" xfId="0" applyFont="1" applyFill="1" applyBorder="1" applyAlignment="1">
      <alignment horizontal="center"/>
    </xf>
    <xf numFmtId="0" fontId="13" fillId="0" borderId="17" xfId="0" applyFont="1" applyBorder="1" applyAlignment="1">
      <alignment horizontal="center"/>
    </xf>
    <xf numFmtId="0" fontId="13" fillId="14" borderId="17" xfId="0" applyFont="1" applyFill="1" applyBorder="1" applyAlignment="1">
      <alignment horizontal="center"/>
    </xf>
    <xf numFmtId="0" fontId="13" fillId="14" borderId="49" xfId="0" applyFont="1" applyFill="1" applyBorder="1" applyAlignment="1">
      <alignment horizontal="center"/>
    </xf>
    <xf numFmtId="0" fontId="13" fillId="14" borderId="54" xfId="0" applyFont="1" applyFill="1" applyBorder="1" applyAlignment="1">
      <alignment horizontal="center"/>
    </xf>
    <xf numFmtId="0" fontId="5" fillId="0" borderId="55" xfId="0" applyFont="1" applyBorder="1" applyAlignment="1">
      <alignment horizontal="center"/>
    </xf>
    <xf numFmtId="0" fontId="13" fillId="2" borderId="55" xfId="0" applyFont="1" applyFill="1" applyBorder="1" applyAlignment="1">
      <alignment horizontal="center"/>
    </xf>
    <xf numFmtId="0" fontId="13" fillId="0" borderId="55" xfId="0" applyFont="1" applyBorder="1" applyAlignment="1">
      <alignment horizontal="center"/>
    </xf>
    <xf numFmtId="0" fontId="13" fillId="14" borderId="55" xfId="0" applyFont="1" applyFill="1" applyBorder="1" applyAlignment="1">
      <alignment horizontal="center"/>
    </xf>
    <xf numFmtId="0" fontId="13" fillId="14" borderId="56" xfId="0" applyFont="1" applyFill="1" applyBorder="1" applyAlignment="1">
      <alignment horizontal="center"/>
    </xf>
    <xf numFmtId="0" fontId="6" fillId="15" borderId="0" xfId="0" applyFont="1" applyFill="1" applyAlignment="1">
      <alignment horizontal="center"/>
    </xf>
    <xf numFmtId="0" fontId="6" fillId="15" borderId="18" xfId="0" applyFont="1" applyFill="1" applyBorder="1" applyAlignment="1">
      <alignment horizontal="center"/>
    </xf>
    <xf numFmtId="0" fontId="6" fillId="0" borderId="18" xfId="0" applyFont="1" applyBorder="1" applyAlignment="1">
      <alignment horizontal="left"/>
    </xf>
    <xf numFmtId="0" fontId="6" fillId="13" borderId="18" xfId="0" applyFont="1" applyFill="1" applyBorder="1" applyAlignment="1">
      <alignment horizontal="center"/>
    </xf>
    <xf numFmtId="0" fontId="6" fillId="0" borderId="55" xfId="0" applyFont="1" applyBorder="1" applyAlignment="1">
      <alignment horizontal="center"/>
    </xf>
    <xf numFmtId="0" fontId="6" fillId="0" borderId="56" xfId="0" applyFont="1" applyBorder="1" applyAlignment="1">
      <alignment horizontal="center"/>
    </xf>
    <xf numFmtId="0" fontId="6" fillId="0" borderId="20" xfId="0" applyFont="1" applyBorder="1" applyAlignment="1">
      <alignment horizontal="center"/>
    </xf>
    <xf numFmtId="0" fontId="6" fillId="0" borderId="60" xfId="0" applyFont="1" applyBorder="1" applyAlignment="1">
      <alignment horizontal="center"/>
    </xf>
    <xf numFmtId="0" fontId="6" fillId="13" borderId="60" xfId="0" applyFont="1" applyFill="1" applyBorder="1" applyAlignment="1">
      <alignment horizontal="center"/>
    </xf>
    <xf numFmtId="0" fontId="6" fillId="0" borderId="61" xfId="0" applyFont="1" applyBorder="1" applyAlignment="1">
      <alignment horizontal="center"/>
    </xf>
    <xf numFmtId="0" fontId="6" fillId="15" borderId="17" xfId="0" applyFont="1" applyFill="1" applyBorder="1" applyAlignment="1">
      <alignment horizontal="left"/>
    </xf>
    <xf numFmtId="0" fontId="6" fillId="15" borderId="1" xfId="0" applyFont="1" applyFill="1" applyBorder="1" applyAlignment="1">
      <alignment horizontal="left"/>
    </xf>
    <xf numFmtId="0" fontId="6" fillId="15" borderId="17" xfId="0" applyFont="1" applyFill="1" applyBorder="1" applyAlignment="1">
      <alignment horizontal="center"/>
    </xf>
    <xf numFmtId="0" fontId="6" fillId="15" borderId="37" xfId="0" applyFont="1" applyFill="1" applyBorder="1" applyAlignment="1">
      <alignment horizontal="center"/>
    </xf>
    <xf numFmtId="0" fontId="6" fillId="22" borderId="63" xfId="0" applyFont="1" applyFill="1" applyBorder="1" applyAlignment="1">
      <alignment horizontal="center"/>
    </xf>
    <xf numFmtId="0" fontId="6" fillId="22" borderId="64" xfId="0" applyFont="1" applyFill="1" applyBorder="1" applyAlignment="1">
      <alignment horizontal="center"/>
    </xf>
    <xf numFmtId="0" fontId="6" fillId="15" borderId="8" xfId="0" applyFont="1" applyFill="1" applyBorder="1" applyAlignment="1">
      <alignment horizontal="center"/>
    </xf>
    <xf numFmtId="0" fontId="6" fillId="0" borderId="31" xfId="0" applyFont="1" applyBorder="1" applyAlignment="1">
      <alignment horizontal="center"/>
    </xf>
    <xf numFmtId="0" fontId="6" fillId="15" borderId="12" xfId="0" applyFont="1" applyFill="1" applyBorder="1" applyAlignment="1">
      <alignment horizontal="center"/>
    </xf>
    <xf numFmtId="0" fontId="9" fillId="0" borderId="1" xfId="0" applyFont="1" applyBorder="1"/>
    <xf numFmtId="0" fontId="19" fillId="2" borderId="4" xfId="0" applyFont="1" applyFill="1" applyBorder="1" applyAlignment="1">
      <alignment horizontal="center"/>
    </xf>
    <xf numFmtId="0" fontId="0" fillId="16" borderId="25" xfId="0" applyFill="1" applyBorder="1"/>
    <xf numFmtId="0" fontId="5" fillId="23" borderId="18" xfId="0" applyFont="1" applyFill="1" applyBorder="1"/>
    <xf numFmtId="0" fontId="13" fillId="23" borderId="18" xfId="0" applyFont="1" applyFill="1" applyBorder="1" applyAlignment="1">
      <alignment horizontal="center"/>
    </xf>
    <xf numFmtId="0" fontId="6" fillId="4" borderId="1" xfId="0" applyFont="1" applyFill="1" applyBorder="1" applyAlignment="1">
      <alignment horizontal="center"/>
    </xf>
    <xf numFmtId="0" fontId="20" fillId="0" borderId="1" xfId="0" applyFont="1" applyBorder="1" applyAlignment="1">
      <alignment horizontal="center"/>
    </xf>
    <xf numFmtId="0" fontId="25" fillId="2" borderId="1" xfId="0" applyFont="1" applyFill="1" applyBorder="1" applyAlignment="1">
      <alignment horizontal="center"/>
    </xf>
    <xf numFmtId="0" fontId="25" fillId="0" borderId="1" xfId="0" applyFont="1" applyBorder="1" applyAlignment="1">
      <alignment horizontal="center"/>
    </xf>
    <xf numFmtId="0" fontId="25" fillId="14" borderId="1" xfId="0" applyFont="1" applyFill="1" applyBorder="1" applyAlignment="1">
      <alignment horizontal="center"/>
    </xf>
    <xf numFmtId="0" fontId="22" fillId="0" borderId="1" xfId="0" applyFont="1" applyBorder="1" applyAlignment="1">
      <alignment horizontal="center"/>
    </xf>
    <xf numFmtId="0" fontId="21" fillId="8" borderId="1" xfId="0" applyFont="1" applyFill="1" applyBorder="1"/>
    <xf numFmtId="0" fontId="19" fillId="0" borderId="55" xfId="0" applyFont="1" applyBorder="1" applyAlignment="1">
      <alignment horizontal="left"/>
    </xf>
    <xf numFmtId="0" fontId="19" fillId="13" borderId="55" xfId="0" applyFont="1" applyFill="1" applyBorder="1" applyAlignment="1">
      <alignment horizontal="center"/>
    </xf>
    <xf numFmtId="0" fontId="19" fillId="0" borderId="55" xfId="0" applyFont="1" applyBorder="1" applyAlignment="1">
      <alignment horizontal="center"/>
    </xf>
    <xf numFmtId="0" fontId="19" fillId="0" borderId="56" xfId="0" applyFont="1" applyBorder="1" applyAlignment="1">
      <alignment horizontal="center"/>
    </xf>
    <xf numFmtId="0" fontId="0" fillId="0" borderId="1" xfId="0" applyBorder="1" applyAlignment="1">
      <alignment horizontal="left"/>
    </xf>
    <xf numFmtId="0" fontId="5" fillId="0" borderId="0" xfId="0" applyFont="1" applyAlignment="1">
      <alignment horizontal="center" vertical="center"/>
    </xf>
    <xf numFmtId="0" fontId="5" fillId="0" borderId="1" xfId="0" applyFont="1" applyBorder="1" applyAlignment="1">
      <alignment horizontal="center" vertical="center"/>
    </xf>
    <xf numFmtId="0" fontId="13" fillId="15" borderId="1" xfId="0" applyFont="1" applyFill="1" applyBorder="1" applyAlignment="1">
      <alignment horizontal="center"/>
    </xf>
    <xf numFmtId="0" fontId="0" fillId="9" borderId="1" xfId="0" applyFill="1" applyBorder="1" applyAlignment="1">
      <alignment horizontal="left"/>
    </xf>
    <xf numFmtId="0" fontId="0" fillId="22" borderId="0" xfId="0" applyFill="1"/>
    <xf numFmtId="0" fontId="22" fillId="3" borderId="12" xfId="0" applyFont="1" applyFill="1" applyBorder="1"/>
    <xf numFmtId="0" fontId="28" fillId="24" borderId="16" xfId="0" applyFont="1" applyFill="1" applyBorder="1"/>
    <xf numFmtId="0" fontId="28" fillId="24" borderId="22" xfId="0" applyFont="1" applyFill="1" applyBorder="1"/>
    <xf numFmtId="0" fontId="28" fillId="24" borderId="28" xfId="0" applyFont="1" applyFill="1" applyBorder="1"/>
    <xf numFmtId="0" fontId="28" fillId="24" borderId="46" xfId="0" applyFont="1" applyFill="1" applyBorder="1"/>
    <xf numFmtId="0" fontId="28" fillId="24" borderId="0" xfId="0" applyFont="1" applyFill="1"/>
    <xf numFmtId="0" fontId="28" fillId="24" borderId="27" xfId="0" applyFont="1" applyFill="1" applyBorder="1"/>
    <xf numFmtId="0" fontId="28" fillId="24" borderId="13" xfId="0" applyFont="1" applyFill="1" applyBorder="1"/>
    <xf numFmtId="0" fontId="28" fillId="24" borderId="14" xfId="0" applyFont="1" applyFill="1" applyBorder="1"/>
    <xf numFmtId="0" fontId="28" fillId="24" borderId="15" xfId="0" applyFont="1" applyFill="1" applyBorder="1"/>
    <xf numFmtId="0" fontId="26" fillId="25" borderId="0" xfId="0" applyFont="1" applyFill="1"/>
    <xf numFmtId="0" fontId="27" fillId="25" borderId="0" xfId="0" applyFont="1" applyFill="1"/>
    <xf numFmtId="0" fontId="6" fillId="4" borderId="1" xfId="0" applyFont="1" applyFill="1" applyBorder="1" applyAlignment="1">
      <alignment horizontal="center" vertical="center"/>
    </xf>
    <xf numFmtId="0" fontId="6" fillId="0" borderId="0" xfId="0" applyFont="1" applyAlignment="1">
      <alignment horizontal="center" vertical="center"/>
    </xf>
    <xf numFmtId="0" fontId="0" fillId="0" borderId="28" xfId="0" applyBorder="1"/>
    <xf numFmtId="0" fontId="5" fillId="0" borderId="0" xfId="0" applyFont="1" applyAlignment="1">
      <alignment horizontal="center"/>
    </xf>
    <xf numFmtId="0" fontId="6" fillId="8" borderId="1" xfId="0" applyFont="1" applyFill="1" applyBorder="1" applyAlignment="1">
      <alignment horizontal="center"/>
    </xf>
    <xf numFmtId="0" fontId="21" fillId="0" borderId="1" xfId="0" applyFont="1" applyBorder="1" applyAlignment="1">
      <alignment horizontal="center"/>
    </xf>
    <xf numFmtId="0" fontId="0" fillId="3" borderId="34" xfId="0" applyFill="1" applyBorder="1"/>
    <xf numFmtId="0" fontId="14" fillId="0" borderId="0" xfId="0" applyFont="1" applyAlignment="1">
      <alignment horizontal="center"/>
    </xf>
    <xf numFmtId="0" fontId="0" fillId="0" borderId="47" xfId="0" applyBorder="1"/>
    <xf numFmtId="0" fontId="1" fillId="0" borderId="0" xfId="0" applyFont="1" applyAlignment="1">
      <alignment horizontal="center"/>
    </xf>
    <xf numFmtId="0" fontId="1" fillId="0" borderId="0" xfId="0" applyFont="1" applyAlignment="1">
      <alignment horizontal="right"/>
    </xf>
    <xf numFmtId="0" fontId="6" fillId="0" borderId="0" xfId="0" applyFont="1" applyAlignment="1">
      <alignment vertical="center"/>
    </xf>
    <xf numFmtId="0" fontId="5" fillId="0" borderId="34" xfId="0" applyFont="1" applyBorder="1"/>
    <xf numFmtId="0" fontId="6" fillId="0" borderId="34" xfId="0" applyFont="1" applyBorder="1"/>
    <xf numFmtId="0" fontId="0" fillId="0" borderId="34" xfId="0" applyBorder="1" applyAlignment="1">
      <alignment horizontal="right"/>
    </xf>
    <xf numFmtId="0" fontId="0" fillId="0" borderId="67" xfId="0" applyBorder="1"/>
    <xf numFmtId="0" fontId="0" fillId="27" borderId="10" xfId="0" applyFill="1" applyBorder="1"/>
    <xf numFmtId="0" fontId="0" fillId="27" borderId="11" xfId="0" applyFill="1" applyBorder="1"/>
    <xf numFmtId="0" fontId="0" fillId="13" borderId="9" xfId="0" applyFill="1" applyBorder="1"/>
    <xf numFmtId="0" fontId="0" fillId="13" borderId="10" xfId="0" applyFill="1" applyBorder="1"/>
    <xf numFmtId="0" fontId="0" fillId="9" borderId="16" xfId="0" applyFill="1" applyBorder="1"/>
    <xf numFmtId="0" fontId="0" fillId="9" borderId="22" xfId="0" applyFill="1" applyBorder="1"/>
    <xf numFmtId="0" fontId="0" fillId="9" borderId="28" xfId="0" applyFill="1" applyBorder="1"/>
    <xf numFmtId="0" fontId="0" fillId="9" borderId="13" xfId="0" applyFill="1" applyBorder="1"/>
    <xf numFmtId="0" fontId="0" fillId="9" borderId="14" xfId="0" applyFill="1" applyBorder="1"/>
    <xf numFmtId="0" fontId="0" fillId="9" borderId="15" xfId="0" applyFill="1" applyBorder="1"/>
    <xf numFmtId="0" fontId="6" fillId="9" borderId="14" xfId="0" applyFont="1" applyFill="1" applyBorder="1" applyAlignment="1">
      <alignment horizontal="center"/>
    </xf>
    <xf numFmtId="0" fontId="1" fillId="0" borderId="0" xfId="0" applyFont="1"/>
    <xf numFmtId="0" fontId="0" fillId="0" borderId="0" xfId="0" applyAlignment="1">
      <alignment horizontal="left"/>
    </xf>
    <xf numFmtId="0" fontId="16" fillId="0" borderId="0" xfId="0" applyFont="1"/>
    <xf numFmtId="0" fontId="9" fillId="0" borderId="0" xfId="0" applyFont="1"/>
    <xf numFmtId="0" fontId="6" fillId="3" borderId="16" xfId="0" applyFont="1" applyFill="1" applyBorder="1" applyAlignment="1">
      <alignment horizontal="right"/>
    </xf>
    <xf numFmtId="0" fontId="0" fillId="2" borderId="22" xfId="0" applyFill="1" applyBorder="1"/>
    <xf numFmtId="0" fontId="6" fillId="0" borderId="0" xfId="0" applyFont="1" applyAlignment="1">
      <alignment horizontal="right"/>
    </xf>
    <xf numFmtId="0" fontId="6" fillId="0" borderId="39" xfId="0" applyFont="1" applyBorder="1" applyAlignment="1">
      <alignment horizontal="center"/>
    </xf>
    <xf numFmtId="0" fontId="31" fillId="3" borderId="2" xfId="0" applyFont="1" applyFill="1" applyBorder="1" applyAlignment="1">
      <alignment horizontal="center"/>
    </xf>
    <xf numFmtId="0" fontId="31" fillId="3" borderId="3" xfId="0" applyFont="1" applyFill="1" applyBorder="1" applyAlignment="1">
      <alignment horizontal="center"/>
    </xf>
    <xf numFmtId="0" fontId="24" fillId="3" borderId="7" xfId="0" applyFont="1" applyFill="1" applyBorder="1" applyAlignment="1">
      <alignment horizontal="center" vertical="center"/>
    </xf>
    <xf numFmtId="0" fontId="34" fillId="2" borderId="2" xfId="0" applyFont="1" applyFill="1" applyBorder="1" applyAlignment="1">
      <alignment horizontal="center"/>
    </xf>
    <xf numFmtId="0" fontId="19" fillId="2" borderId="3" xfId="0" applyFont="1" applyFill="1" applyBorder="1" applyAlignment="1">
      <alignment horizontal="center"/>
    </xf>
    <xf numFmtId="0" fontId="24" fillId="2" borderId="7" xfId="0" applyFont="1" applyFill="1" applyBorder="1" applyAlignment="1">
      <alignment horizontal="center"/>
    </xf>
    <xf numFmtId="0" fontId="19" fillId="2" borderId="33" xfId="0" applyFont="1" applyFill="1" applyBorder="1" applyAlignment="1">
      <alignment horizontal="center"/>
    </xf>
    <xf numFmtId="0" fontId="19" fillId="2" borderId="1" xfId="0" applyFont="1" applyFill="1" applyBorder="1" applyAlignment="1">
      <alignment horizontal="center"/>
    </xf>
    <xf numFmtId="0" fontId="31" fillId="2" borderId="33" xfId="0" applyFont="1" applyFill="1" applyBorder="1" applyAlignment="1">
      <alignment horizontal="center"/>
    </xf>
    <xf numFmtId="0" fontId="31" fillId="2" borderId="1" xfId="0" applyFont="1" applyFill="1" applyBorder="1" applyAlignment="1">
      <alignment horizontal="center"/>
    </xf>
    <xf numFmtId="0" fontId="31" fillId="3" borderId="4" xfId="0" applyFont="1" applyFill="1" applyBorder="1" applyAlignment="1">
      <alignment horizontal="center"/>
    </xf>
    <xf numFmtId="0" fontId="31" fillId="3" borderId="1" xfId="0" applyFont="1" applyFill="1" applyBorder="1" applyAlignment="1">
      <alignment horizontal="center"/>
    </xf>
    <xf numFmtId="0" fontId="24" fillId="3" borderId="8" xfId="0" applyFont="1" applyFill="1" applyBorder="1" applyAlignment="1">
      <alignment horizontal="center" vertical="center"/>
    </xf>
    <xf numFmtId="0" fontId="34" fillId="2" borderId="4" xfId="0" applyFont="1" applyFill="1" applyBorder="1" applyAlignment="1">
      <alignment horizontal="center"/>
    </xf>
    <xf numFmtId="0" fontId="24" fillId="2" borderId="8" xfId="0" applyFont="1" applyFill="1" applyBorder="1" applyAlignment="1">
      <alignment horizontal="center"/>
    </xf>
    <xf numFmtId="0" fontId="19" fillId="11" borderId="33" xfId="0" applyFont="1" applyFill="1" applyBorder="1" applyAlignment="1">
      <alignment horizontal="center"/>
    </xf>
    <xf numFmtId="0" fontId="36" fillId="11" borderId="33" xfId="0" applyFont="1" applyFill="1" applyBorder="1" applyAlignment="1">
      <alignment horizontal="center"/>
    </xf>
    <xf numFmtId="0" fontId="32" fillId="3" borderId="4" xfId="0" applyFont="1" applyFill="1" applyBorder="1" applyAlignment="1">
      <alignment horizontal="center"/>
    </xf>
    <xf numFmtId="0" fontId="24" fillId="2" borderId="4" xfId="0" applyFont="1" applyFill="1" applyBorder="1" applyAlignment="1">
      <alignment horizontal="center"/>
    </xf>
    <xf numFmtId="0" fontId="24" fillId="2" borderId="1" xfId="0" applyFont="1" applyFill="1" applyBorder="1" applyAlignment="1">
      <alignment horizontal="center"/>
    </xf>
    <xf numFmtId="0" fontId="31" fillId="2" borderId="8" xfId="0" applyFont="1" applyFill="1" applyBorder="1" applyAlignment="1">
      <alignment horizontal="center"/>
    </xf>
    <xf numFmtId="0" fontId="31" fillId="2" borderId="12" xfId="0" applyFont="1" applyFill="1" applyBorder="1" applyAlignment="1">
      <alignment horizontal="center"/>
    </xf>
    <xf numFmtId="0" fontId="19" fillId="2" borderId="11" xfId="0" applyFont="1" applyFill="1" applyBorder="1" applyAlignment="1">
      <alignment horizontal="center"/>
    </xf>
    <xf numFmtId="0" fontId="31" fillId="2" borderId="25" xfId="0" applyFont="1" applyFill="1" applyBorder="1" applyAlignment="1">
      <alignment horizontal="center"/>
    </xf>
    <xf numFmtId="0" fontId="19" fillId="2" borderId="35" xfId="0" applyFont="1" applyFill="1" applyBorder="1" applyAlignment="1">
      <alignment horizontal="center"/>
    </xf>
    <xf numFmtId="0" fontId="35" fillId="3" borderId="8" xfId="0" applyFont="1" applyFill="1" applyBorder="1" applyAlignment="1">
      <alignment horizontal="center" vertical="center"/>
    </xf>
    <xf numFmtId="0" fontId="31" fillId="11" borderId="33" xfId="0" applyFont="1" applyFill="1" applyBorder="1" applyAlignment="1">
      <alignment horizontal="center"/>
    </xf>
    <xf numFmtId="0" fontId="31" fillId="11" borderId="1" xfId="0" applyFont="1" applyFill="1" applyBorder="1" applyAlignment="1">
      <alignment horizontal="center"/>
    </xf>
    <xf numFmtId="0" fontId="35" fillId="2" borderId="8" xfId="0" applyFont="1" applyFill="1" applyBorder="1" applyAlignment="1">
      <alignment horizontal="center"/>
    </xf>
    <xf numFmtId="0" fontId="37" fillId="2" borderId="33" xfId="0" applyFont="1" applyFill="1" applyBorder="1" applyAlignment="1">
      <alignment horizontal="center"/>
    </xf>
    <xf numFmtId="0" fontId="31" fillId="3" borderId="8" xfId="0" applyFont="1" applyFill="1" applyBorder="1" applyAlignment="1">
      <alignment horizontal="center"/>
    </xf>
    <xf numFmtId="0" fontId="31" fillId="0" borderId="0" xfId="0" applyFont="1"/>
    <xf numFmtId="0" fontId="19" fillId="2" borderId="5" xfId="0" applyFont="1" applyFill="1" applyBorder="1" applyAlignment="1">
      <alignment horizontal="center"/>
    </xf>
    <xf numFmtId="0" fontId="24" fillId="2" borderId="6" xfId="0" applyFont="1" applyFill="1" applyBorder="1" applyAlignment="1">
      <alignment horizontal="center"/>
    </xf>
    <xf numFmtId="0" fontId="24" fillId="2" borderId="19" xfId="0" applyFont="1" applyFill="1" applyBorder="1" applyAlignment="1">
      <alignment horizontal="center"/>
    </xf>
    <xf numFmtId="0" fontId="32" fillId="0" borderId="0" xfId="0" applyFont="1"/>
    <xf numFmtId="0" fontId="19" fillId="2" borderId="18" xfId="0" applyFont="1" applyFill="1" applyBorder="1" applyAlignment="1">
      <alignment horizontal="center"/>
    </xf>
    <xf numFmtId="0" fontId="35" fillId="2" borderId="18" xfId="0" applyFont="1" applyFill="1" applyBorder="1" applyAlignment="1">
      <alignment horizontal="center"/>
    </xf>
    <xf numFmtId="0" fontId="19" fillId="13" borderId="17" xfId="0" applyFont="1" applyFill="1" applyBorder="1" applyAlignment="1">
      <alignment horizontal="center"/>
    </xf>
    <xf numFmtId="0" fontId="19" fillId="0" borderId="49" xfId="0" applyFont="1" applyBorder="1" applyAlignment="1">
      <alignment horizontal="center"/>
    </xf>
    <xf numFmtId="0" fontId="19" fillId="0" borderId="1" xfId="0" applyFont="1" applyBorder="1" applyAlignment="1">
      <alignment horizontal="left"/>
    </xf>
    <xf numFmtId="0" fontId="19" fillId="13" borderId="1" xfId="0" applyFont="1" applyFill="1" applyBorder="1" applyAlignment="1">
      <alignment horizontal="center"/>
    </xf>
    <xf numFmtId="0" fontId="19" fillId="0" borderId="1" xfId="0" applyFont="1" applyBorder="1" applyAlignment="1">
      <alignment horizontal="center"/>
    </xf>
    <xf numFmtId="0" fontId="19" fillId="0" borderId="42" xfId="0" applyFont="1" applyBorder="1" applyAlignment="1">
      <alignment horizontal="center"/>
    </xf>
    <xf numFmtId="0" fontId="19" fillId="0" borderId="8" xfId="0" applyFont="1" applyBorder="1" applyAlignment="1">
      <alignment horizontal="center"/>
    </xf>
    <xf numFmtId="0" fontId="19" fillId="0" borderId="20" xfId="0" applyFont="1" applyBorder="1" applyAlignment="1">
      <alignment horizontal="left"/>
    </xf>
    <xf numFmtId="0" fontId="19" fillId="13" borderId="20" xfId="0" applyFont="1" applyFill="1" applyBorder="1" applyAlignment="1">
      <alignment horizontal="center"/>
    </xf>
    <xf numFmtId="0" fontId="19" fillId="0" borderId="20" xfId="0" applyFont="1" applyBorder="1" applyAlignment="1">
      <alignment horizontal="center"/>
    </xf>
    <xf numFmtId="0" fontId="19" fillId="0" borderId="58" xfId="0" applyFont="1" applyBorder="1" applyAlignment="1">
      <alignment horizontal="center"/>
    </xf>
    <xf numFmtId="16" fontId="19" fillId="0" borderId="55" xfId="0" applyNumberFormat="1" applyFont="1" applyBorder="1" applyAlignment="1">
      <alignment horizontal="center"/>
    </xf>
    <xf numFmtId="0" fontId="21" fillId="0" borderId="0" xfId="0" applyFont="1" applyAlignment="1">
      <alignment horizontal="center"/>
    </xf>
    <xf numFmtId="0" fontId="21" fillId="0" borderId="0" xfId="0" applyFont="1"/>
    <xf numFmtId="0" fontId="8" fillId="0" borderId="0" xfId="0" applyFont="1" applyAlignment="1">
      <alignment horizontal="center"/>
    </xf>
    <xf numFmtId="16" fontId="6" fillId="0" borderId="0" xfId="0" applyNumberFormat="1" applyFont="1" applyAlignment="1">
      <alignment horizontal="center"/>
    </xf>
    <xf numFmtId="0" fontId="13" fillId="0" borderId="0" xfId="0" applyFont="1" applyAlignment="1">
      <alignment horizontal="center"/>
    </xf>
    <xf numFmtId="0" fontId="7" fillId="0" borderId="0" xfId="0" applyFont="1"/>
    <xf numFmtId="0" fontId="30" fillId="27" borderId="1" xfId="0" applyFont="1" applyFill="1" applyBorder="1" applyAlignment="1">
      <alignment horizontal="center"/>
    </xf>
    <xf numFmtId="0" fontId="30" fillId="0" borderId="0" xfId="0" applyFont="1" applyAlignment="1">
      <alignment horizontal="center"/>
    </xf>
    <xf numFmtId="0" fontId="30" fillId="0" borderId="0" xfId="0" applyFont="1" applyAlignment="1">
      <alignment horizontal="right"/>
    </xf>
    <xf numFmtId="0" fontId="28" fillId="0" borderId="0" xfId="0" applyFont="1" applyAlignment="1">
      <alignment horizontal="right"/>
    </xf>
    <xf numFmtId="0" fontId="30" fillId="0" borderId="0" xfId="0" applyFont="1"/>
    <xf numFmtId="0" fontId="40" fillId="0" borderId="0" xfId="0" applyFont="1"/>
    <xf numFmtId="0" fontId="28" fillId="0" borderId="0" xfId="0" applyFont="1"/>
    <xf numFmtId="0" fontId="30" fillId="0" borderId="0" xfId="0" applyFont="1" applyAlignment="1">
      <alignment vertical="center"/>
    </xf>
    <xf numFmtId="0" fontId="6" fillId="0" borderId="37" xfId="0" applyFont="1" applyBorder="1" applyAlignment="1">
      <alignment horizontal="center"/>
    </xf>
    <xf numFmtId="0" fontId="22" fillId="0" borderId="0" xfId="0" applyFont="1" applyAlignment="1">
      <alignment horizontal="center"/>
    </xf>
    <xf numFmtId="0" fontId="0" fillId="16" borderId="8" xfId="0" applyFill="1" applyBorder="1"/>
    <xf numFmtId="0" fontId="6" fillId="15" borderId="18" xfId="0" applyFont="1" applyFill="1" applyBorder="1" applyAlignment="1">
      <alignment horizontal="right"/>
    </xf>
    <xf numFmtId="0" fontId="6" fillId="13" borderId="8" xfId="0" applyFont="1" applyFill="1" applyBorder="1" applyAlignment="1">
      <alignment vertical="center"/>
    </xf>
    <xf numFmtId="0" fontId="6" fillId="4" borderId="18" xfId="0" applyFont="1" applyFill="1" applyBorder="1"/>
    <xf numFmtId="0" fontId="6" fillId="4" borderId="18" xfId="0" applyFont="1" applyFill="1" applyBorder="1" applyAlignment="1">
      <alignment horizontal="right"/>
    </xf>
    <xf numFmtId="0" fontId="6" fillId="4" borderId="18" xfId="0" applyFont="1" applyFill="1" applyBorder="1" applyAlignment="1">
      <alignment horizontal="center"/>
    </xf>
    <xf numFmtId="0" fontId="6" fillId="15" borderId="18" xfId="0" applyFont="1" applyFill="1" applyBorder="1"/>
    <xf numFmtId="0" fontId="0" fillId="15" borderId="18" xfId="0" applyFill="1" applyBorder="1" applyAlignment="1">
      <alignment horizontal="right"/>
    </xf>
    <xf numFmtId="0" fontId="22" fillId="0" borderId="17" xfId="0" applyFont="1" applyBorder="1" applyAlignment="1">
      <alignment horizontal="center"/>
    </xf>
    <xf numFmtId="0" fontId="6" fillId="0" borderId="1" xfId="0" applyFont="1" applyBorder="1"/>
    <xf numFmtId="0" fontId="22" fillId="0" borderId="17" xfId="0" applyFont="1" applyBorder="1" applyAlignment="1">
      <alignment horizontal="left"/>
    </xf>
    <xf numFmtId="0" fontId="22" fillId="13" borderId="17" xfId="0" applyFont="1" applyFill="1" applyBorder="1" applyAlignment="1">
      <alignment horizontal="center"/>
    </xf>
    <xf numFmtId="0" fontId="19" fillId="2" borderId="18" xfId="0" applyFont="1" applyFill="1" applyBorder="1" applyAlignment="1">
      <alignment horizontal="left"/>
    </xf>
    <xf numFmtId="0" fontId="19" fillId="2" borderId="39" xfId="0" applyFont="1" applyFill="1" applyBorder="1" applyAlignment="1">
      <alignment horizontal="center"/>
    </xf>
    <xf numFmtId="0" fontId="0" fillId="0" borderId="1" xfId="0" applyBorder="1" applyAlignment="1">
      <alignment horizontal="center"/>
    </xf>
    <xf numFmtId="0" fontId="25" fillId="2" borderId="18" xfId="0" applyFont="1" applyFill="1" applyBorder="1" applyAlignment="1">
      <alignment horizontal="center"/>
    </xf>
    <xf numFmtId="0" fontId="0" fillId="0" borderId="17" xfId="0" applyBorder="1" applyAlignment="1">
      <alignment horizontal="center"/>
    </xf>
    <xf numFmtId="0" fontId="5" fillId="0" borderId="25" xfId="0" applyFont="1" applyBorder="1" applyAlignment="1">
      <alignment horizontal="center"/>
    </xf>
    <xf numFmtId="0" fontId="9" fillId="0" borderId="18" xfId="0" applyFont="1" applyBorder="1" applyAlignment="1">
      <alignment horizontal="center"/>
    </xf>
    <xf numFmtId="0" fontId="0" fillId="0" borderId="8" xfId="0" applyBorder="1" applyAlignment="1">
      <alignment horizontal="right"/>
    </xf>
    <xf numFmtId="0" fontId="0" fillId="0" borderId="24" xfId="0" applyBorder="1" applyAlignment="1">
      <alignment horizontal="right"/>
    </xf>
    <xf numFmtId="0" fontId="0" fillId="0" borderId="25" xfId="0" applyBorder="1" applyAlignment="1">
      <alignment horizontal="right"/>
    </xf>
    <xf numFmtId="0" fontId="9" fillId="0" borderId="3" xfId="0" applyFont="1" applyBorder="1" applyAlignment="1">
      <alignment horizontal="center"/>
    </xf>
    <xf numFmtId="0" fontId="17" fillId="0" borderId="0" xfId="0" applyFont="1"/>
    <xf numFmtId="0" fontId="9" fillId="0" borderId="1" xfId="0" applyFont="1" applyBorder="1" applyAlignment="1">
      <alignment horizontal="right"/>
    </xf>
    <xf numFmtId="0" fontId="9" fillId="2" borderId="1" xfId="0" applyFont="1" applyFill="1" applyBorder="1" applyAlignment="1">
      <alignment horizontal="center"/>
    </xf>
    <xf numFmtId="0" fontId="9" fillId="0" borderId="18" xfId="0" applyFont="1" applyBorder="1"/>
    <xf numFmtId="0" fontId="9" fillId="0" borderId="20" xfId="0" applyFont="1" applyBorder="1" applyAlignment="1">
      <alignment horizontal="center"/>
    </xf>
    <xf numFmtId="0" fontId="5" fillId="0" borderId="18" xfId="0" applyFont="1" applyBorder="1"/>
    <xf numFmtId="0" fontId="9" fillId="0" borderId="17" xfId="0" applyFont="1" applyBorder="1"/>
    <xf numFmtId="0" fontId="1" fillId="0" borderId="8" xfId="0" applyFont="1" applyBorder="1"/>
    <xf numFmtId="0" fontId="14" fillId="0" borderId="9" xfId="0" applyFont="1" applyBorder="1" applyAlignment="1">
      <alignment horizontal="right"/>
    </xf>
    <xf numFmtId="0" fontId="6" fillId="0" borderId="12" xfId="0" applyFont="1" applyBorder="1"/>
    <xf numFmtId="0" fontId="0" fillId="2" borderId="0" xfId="0" applyFill="1"/>
    <xf numFmtId="0" fontId="0" fillId="2" borderId="1" xfId="0" applyFill="1" applyBorder="1"/>
    <xf numFmtId="0" fontId="24" fillId="0" borderId="1" xfId="0" applyFont="1" applyBorder="1" applyAlignment="1">
      <alignment horizontal="center"/>
    </xf>
    <xf numFmtId="0" fontId="44" fillId="2" borderId="1" xfId="0" applyFont="1" applyFill="1" applyBorder="1" applyAlignment="1">
      <alignment horizontal="center"/>
    </xf>
    <xf numFmtId="0" fontId="44" fillId="0" borderId="1" xfId="0" applyFont="1" applyBorder="1" applyAlignment="1">
      <alignment horizontal="center"/>
    </xf>
    <xf numFmtId="0" fontId="44" fillId="14" borderId="1" xfId="0" applyFont="1" applyFill="1" applyBorder="1" applyAlignment="1">
      <alignment horizontal="center"/>
    </xf>
    <xf numFmtId="0" fontId="6" fillId="3" borderId="9" xfId="0" applyFont="1" applyFill="1" applyBorder="1" applyAlignment="1">
      <alignment horizontal="center"/>
    </xf>
    <xf numFmtId="0" fontId="6" fillId="3" borderId="10" xfId="0" applyFont="1" applyFill="1" applyBorder="1" applyAlignment="1">
      <alignment horizontal="center"/>
    </xf>
    <xf numFmtId="0" fontId="6" fillId="3" borderId="11" xfId="0" applyFont="1" applyFill="1" applyBorder="1" applyAlignment="1">
      <alignment horizontal="center"/>
    </xf>
    <xf numFmtId="0" fontId="0" fillId="3" borderId="1" xfId="0" applyFill="1" applyBorder="1" applyAlignment="1">
      <alignment horizontal="center"/>
    </xf>
    <xf numFmtId="0" fontId="0" fillId="0" borderId="1" xfId="0" applyBorder="1" applyAlignment="1">
      <alignment horizontal="center"/>
    </xf>
    <xf numFmtId="0" fontId="21" fillId="0" borderId="1" xfId="0" applyFont="1" applyBorder="1" applyAlignment="1">
      <alignment horizontal="center"/>
    </xf>
    <xf numFmtId="0" fontId="1" fillId="3" borderId="1" xfId="0" applyFont="1" applyFill="1" applyBorder="1" applyAlignment="1">
      <alignment horizontal="center"/>
    </xf>
    <xf numFmtId="0" fontId="1" fillId="0" borderId="9" xfId="0" applyFont="1" applyBorder="1" applyAlignment="1">
      <alignment horizontal="center"/>
    </xf>
    <xf numFmtId="0" fontId="0" fillId="0" borderId="10" xfId="0" applyBorder="1"/>
    <xf numFmtId="0" fontId="0" fillId="0" borderId="28" xfId="0" applyBorder="1"/>
    <xf numFmtId="0" fontId="13" fillId="3" borderId="9" xfId="0" applyFont="1" applyFill="1" applyBorder="1" applyAlignment="1">
      <alignment horizontal="center"/>
    </xf>
    <xf numFmtId="0" fontId="13" fillId="3" borderId="10" xfId="0" applyFont="1" applyFill="1" applyBorder="1" applyAlignment="1">
      <alignment horizontal="center"/>
    </xf>
    <xf numFmtId="0" fontId="13" fillId="3" borderId="11" xfId="0" applyFont="1"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0" fillId="0" borderId="0" xfId="0" applyAlignment="1">
      <alignment horizontal="center"/>
    </xf>
    <xf numFmtId="0" fontId="6" fillId="3" borderId="9" xfId="0" applyFont="1" applyFill="1" applyBorder="1" applyAlignment="1">
      <alignment horizontal="right"/>
    </xf>
    <xf numFmtId="0" fontId="6" fillId="3" borderId="10" xfId="0" applyFont="1" applyFill="1" applyBorder="1" applyAlignment="1">
      <alignment horizontal="right"/>
    </xf>
    <xf numFmtId="0" fontId="6" fillId="3" borderId="11" xfId="0" applyFont="1" applyFill="1" applyBorder="1" applyAlignment="1">
      <alignment horizontal="right"/>
    </xf>
    <xf numFmtId="0" fontId="21" fillId="0" borderId="8" xfId="0" applyFont="1" applyBorder="1" applyAlignment="1">
      <alignment horizontal="center"/>
    </xf>
    <xf numFmtId="0" fontId="21" fillId="0" borderId="24" xfId="0" applyFont="1" applyBorder="1" applyAlignment="1">
      <alignment horizontal="center"/>
    </xf>
    <xf numFmtId="0" fontId="21" fillId="0" borderId="25" xfId="0" applyFont="1" applyBorder="1" applyAlignment="1">
      <alignment horizontal="center"/>
    </xf>
    <xf numFmtId="0" fontId="0" fillId="0" borderId="17" xfId="0" applyBorder="1" applyAlignment="1">
      <alignment horizontal="center"/>
    </xf>
    <xf numFmtId="0" fontId="0" fillId="0" borderId="8"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37" fillId="2" borderId="1" xfId="0" applyFont="1" applyFill="1" applyBorder="1" applyAlignment="1">
      <alignment horizontal="center"/>
    </xf>
    <xf numFmtId="0" fontId="37" fillId="2" borderId="8" xfId="0" applyFont="1" applyFill="1" applyBorder="1" applyAlignment="1">
      <alignment horizontal="center"/>
    </xf>
    <xf numFmtId="0" fontId="35" fillId="2" borderId="1" xfId="0" applyFont="1" applyFill="1" applyBorder="1" applyAlignment="1">
      <alignment horizontal="center"/>
    </xf>
    <xf numFmtId="0" fontId="35" fillId="2" borderId="8" xfId="0" applyFont="1" applyFill="1" applyBorder="1" applyAlignment="1">
      <alignment horizontal="center"/>
    </xf>
    <xf numFmtId="0" fontId="35" fillId="11" borderId="1" xfId="0" applyFont="1" applyFill="1" applyBorder="1" applyAlignment="1">
      <alignment horizontal="center"/>
    </xf>
    <xf numFmtId="0" fontId="0" fillId="0" borderId="21" xfId="0" applyBorder="1" applyAlignment="1">
      <alignment horizontal="center"/>
    </xf>
    <xf numFmtId="0" fontId="6" fillId="4" borderId="9" xfId="0" applyFont="1" applyFill="1" applyBorder="1" applyAlignment="1">
      <alignment horizontal="right"/>
    </xf>
    <xf numFmtId="0" fontId="6" fillId="4" borderId="10" xfId="0" applyFont="1" applyFill="1" applyBorder="1" applyAlignment="1">
      <alignment horizontal="right"/>
    </xf>
    <xf numFmtId="0" fontId="6" fillId="4" borderId="11" xfId="0" applyFont="1" applyFill="1" applyBorder="1" applyAlignment="1">
      <alignment horizontal="right"/>
    </xf>
    <xf numFmtId="0" fontId="35" fillId="2" borderId="35" xfId="0" applyFont="1" applyFill="1" applyBorder="1" applyAlignment="1">
      <alignment horizontal="center"/>
    </xf>
    <xf numFmtId="0" fontId="31" fillId="2" borderId="8" xfId="0" applyFont="1" applyFill="1" applyBorder="1" applyAlignment="1">
      <alignment horizontal="center"/>
    </xf>
    <xf numFmtId="0" fontId="31" fillId="2" borderId="36" xfId="0" applyFont="1" applyFill="1" applyBorder="1" applyAlignment="1">
      <alignment horizontal="center"/>
    </xf>
    <xf numFmtId="0" fontId="35" fillId="2" borderId="18" xfId="0" applyFont="1" applyFill="1" applyBorder="1" applyAlignment="1">
      <alignment horizontal="center"/>
    </xf>
    <xf numFmtId="0" fontId="35" fillId="2" borderId="65" xfId="0" applyFont="1" applyFill="1" applyBorder="1" applyAlignment="1">
      <alignment horizontal="center"/>
    </xf>
    <xf numFmtId="0" fontId="24" fillId="3" borderId="9" xfId="0" applyFont="1" applyFill="1" applyBorder="1" applyAlignment="1">
      <alignment horizontal="center" vertical="center"/>
    </xf>
    <xf numFmtId="0" fontId="24" fillId="3" borderId="11" xfId="0" applyFont="1" applyFill="1" applyBorder="1" applyAlignment="1">
      <alignment horizontal="center" vertical="center"/>
    </xf>
    <xf numFmtId="0" fontId="6" fillId="0" borderId="0" xfId="0" applyFont="1" applyAlignment="1">
      <alignment horizontal="right"/>
    </xf>
    <xf numFmtId="0" fontId="30" fillId="27" borderId="68" xfId="0" applyFont="1" applyFill="1" applyBorder="1" applyAlignment="1">
      <alignment horizontal="center"/>
    </xf>
    <xf numFmtId="0" fontId="30" fillId="27" borderId="0" xfId="0" applyFont="1" applyFill="1" applyAlignment="1">
      <alignment horizontal="center"/>
    </xf>
    <xf numFmtId="0" fontId="0" fillId="0" borderId="0" xfId="0" applyAlignment="1">
      <alignment horizontal="right"/>
    </xf>
    <xf numFmtId="0" fontId="24" fillId="11" borderId="1" xfId="0" applyFont="1" applyFill="1" applyBorder="1" applyAlignment="1">
      <alignment horizontal="center"/>
    </xf>
    <xf numFmtId="0" fontId="31" fillId="11" borderId="8" xfId="0" applyFont="1" applyFill="1" applyBorder="1" applyAlignment="1">
      <alignment horizontal="center"/>
    </xf>
    <xf numFmtId="0" fontId="19" fillId="11" borderId="1" xfId="0" applyFont="1" applyFill="1" applyBorder="1" applyAlignment="1">
      <alignment horizontal="center"/>
    </xf>
    <xf numFmtId="0" fontId="31" fillId="11" borderId="35" xfId="0" applyFont="1" applyFill="1" applyBorder="1" applyAlignment="1">
      <alignment horizontal="center"/>
    </xf>
    <xf numFmtId="0" fontId="29" fillId="26" borderId="0" xfId="0" applyFont="1" applyFill="1" applyAlignment="1">
      <alignment horizontal="center"/>
    </xf>
    <xf numFmtId="0" fontId="24" fillId="2" borderId="37" xfId="0" applyFont="1" applyFill="1" applyBorder="1" applyAlignment="1">
      <alignment horizontal="center"/>
    </xf>
    <xf numFmtId="0" fontId="24" fillId="2" borderId="38" xfId="0" applyFont="1" applyFill="1" applyBorder="1" applyAlignment="1">
      <alignment horizontal="center"/>
    </xf>
    <xf numFmtId="0" fontId="0" fillId="5" borderId="0" xfId="0" applyFill="1" applyAlignment="1">
      <alignment horizontal="center"/>
    </xf>
    <xf numFmtId="0" fontId="1" fillId="4" borderId="0" xfId="0" applyFont="1" applyFill="1" applyAlignment="1">
      <alignment horizontal="center"/>
    </xf>
    <xf numFmtId="0" fontId="0" fillId="4" borderId="0" xfId="0" applyFill="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0" fillId="2" borderId="9" xfId="0" applyFill="1" applyBorder="1" applyAlignment="1">
      <alignment horizontal="center"/>
    </xf>
    <xf numFmtId="0" fontId="0" fillId="2" borderId="11" xfId="0" applyFill="1" applyBorder="1" applyAlignment="1">
      <alignment horizontal="center"/>
    </xf>
    <xf numFmtId="0" fontId="0" fillId="2" borderId="0" xfId="0" applyFill="1" applyAlignment="1">
      <alignment horizontal="center"/>
    </xf>
    <xf numFmtId="0" fontId="31" fillId="11" borderId="17" xfId="0" applyFont="1" applyFill="1" applyBorder="1" applyAlignment="1">
      <alignment horizontal="center"/>
    </xf>
    <xf numFmtId="0" fontId="31" fillId="11" borderId="37" xfId="0" applyFont="1" applyFill="1" applyBorder="1" applyAlignment="1">
      <alignment horizontal="center"/>
    </xf>
    <xf numFmtId="0" fontId="31" fillId="11" borderId="1" xfId="0" applyFont="1" applyFill="1" applyBorder="1" applyAlignment="1">
      <alignment horizontal="center"/>
    </xf>
    <xf numFmtId="0" fontId="32" fillId="0" borderId="9" xfId="0" applyFont="1" applyBorder="1" applyAlignment="1">
      <alignment horizontal="center"/>
    </xf>
    <xf numFmtId="0" fontId="32" fillId="0" borderId="10" xfId="0" applyFont="1" applyBorder="1" applyAlignment="1">
      <alignment horizontal="center"/>
    </xf>
    <xf numFmtId="0" fontId="19" fillId="11" borderId="8" xfId="0" applyFont="1" applyFill="1" applyBorder="1" applyAlignment="1">
      <alignment horizontal="center"/>
    </xf>
    <xf numFmtId="0" fontId="19" fillId="11" borderId="24" xfId="0" applyFont="1" applyFill="1" applyBorder="1" applyAlignment="1">
      <alignment horizontal="center"/>
    </xf>
    <xf numFmtId="0" fontId="19" fillId="11" borderId="25" xfId="0" applyFont="1" applyFill="1" applyBorder="1" applyAlignment="1">
      <alignment horizontal="center"/>
    </xf>
    <xf numFmtId="0" fontId="1" fillId="0" borderId="0" xfId="0" applyFont="1" applyAlignment="1">
      <alignment horizontal="center"/>
    </xf>
    <xf numFmtId="0" fontId="0" fillId="9" borderId="1" xfId="0" applyFill="1" applyBorder="1" applyAlignment="1">
      <alignment horizontal="left"/>
    </xf>
    <xf numFmtId="0" fontId="0" fillId="9" borderId="8" xfId="0" applyFill="1" applyBorder="1" applyAlignment="1">
      <alignment horizontal="left"/>
    </xf>
    <xf numFmtId="0" fontId="20" fillId="0" borderId="0" xfId="0" applyFont="1" applyAlignment="1">
      <alignment horizontal="center"/>
    </xf>
    <xf numFmtId="0" fontId="0" fillId="0" borderId="11" xfId="0" applyBorder="1"/>
    <xf numFmtId="0" fontId="24" fillId="2" borderId="8" xfId="0" applyFont="1" applyFill="1" applyBorder="1" applyAlignment="1">
      <alignment horizontal="center"/>
    </xf>
    <xf numFmtId="0" fontId="24" fillId="2" borderId="24" xfId="0" applyFont="1" applyFill="1" applyBorder="1" applyAlignment="1">
      <alignment horizontal="center"/>
    </xf>
    <xf numFmtId="0" fontId="24" fillId="2" borderId="1" xfId="0" applyFont="1" applyFill="1" applyBorder="1" applyAlignment="1">
      <alignment horizontal="center"/>
    </xf>
    <xf numFmtId="0" fontId="24" fillId="2" borderId="35" xfId="0" applyFont="1" applyFill="1" applyBorder="1" applyAlignment="1">
      <alignment horizontal="center"/>
    </xf>
    <xf numFmtId="0" fontId="14" fillId="4" borderId="16" xfId="0" applyFont="1" applyFill="1" applyBorder="1" applyAlignment="1">
      <alignment horizontal="center"/>
    </xf>
    <xf numFmtId="0" fontId="14" fillId="4" borderId="22" xfId="0" applyFont="1" applyFill="1" applyBorder="1" applyAlignment="1">
      <alignment horizontal="center"/>
    </xf>
    <xf numFmtId="0" fontId="14" fillId="4" borderId="28" xfId="0" applyFont="1" applyFill="1" applyBorder="1" applyAlignment="1">
      <alignment horizontal="center"/>
    </xf>
    <xf numFmtId="0" fontId="6" fillId="3" borderId="29" xfId="0" applyFont="1" applyFill="1" applyBorder="1" applyAlignment="1">
      <alignment horizontal="center"/>
    </xf>
    <xf numFmtId="0" fontId="0" fillId="0" borderId="23" xfId="0" applyBorder="1"/>
    <xf numFmtId="0" fontId="0" fillId="0" borderId="30" xfId="0" applyBorder="1"/>
    <xf numFmtId="0" fontId="0" fillId="0" borderId="31" xfId="0" applyBorder="1" applyAlignment="1">
      <alignment horizontal="center"/>
    </xf>
    <xf numFmtId="0" fontId="6" fillId="3" borderId="0" xfId="0" applyFont="1" applyFill="1" applyAlignment="1">
      <alignment horizontal="right"/>
    </xf>
    <xf numFmtId="0" fontId="0" fillId="3" borderId="0" xfId="0" applyFill="1"/>
    <xf numFmtId="0" fontId="0" fillId="3" borderId="27" xfId="0" applyFill="1" applyBorder="1"/>
    <xf numFmtId="0" fontId="37" fillId="2" borderId="36" xfId="0" applyFont="1" applyFill="1" applyBorder="1" applyAlignment="1">
      <alignment horizontal="center"/>
    </xf>
    <xf numFmtId="0" fontId="31" fillId="2" borderId="39" xfId="0" applyFont="1" applyFill="1" applyBorder="1" applyAlignment="1">
      <alignment horizontal="center"/>
    </xf>
    <xf numFmtId="0" fontId="31" fillId="2" borderId="40" xfId="0" applyFont="1" applyFill="1" applyBorder="1" applyAlignment="1">
      <alignment horizontal="center"/>
    </xf>
    <xf numFmtId="0" fontId="1" fillId="0" borderId="8" xfId="0" applyFont="1" applyBorder="1" applyAlignment="1">
      <alignment horizontal="center"/>
    </xf>
    <xf numFmtId="0" fontId="1" fillId="0" borderId="24" xfId="0" applyFont="1" applyBorder="1" applyAlignment="1">
      <alignment horizontal="center"/>
    </xf>
    <xf numFmtId="0" fontId="1" fillId="0" borderId="25"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6" fillId="0" borderId="14" xfId="0" applyFont="1" applyBorder="1" applyAlignment="1">
      <alignment horizontal="center"/>
    </xf>
    <xf numFmtId="0" fontId="20" fillId="0" borderId="8" xfId="0" applyFont="1" applyBorder="1" applyAlignment="1">
      <alignment horizontal="center"/>
    </xf>
    <xf numFmtId="0" fontId="20" fillId="0" borderId="25" xfId="0" applyFont="1" applyBorder="1" applyAlignment="1">
      <alignment horizontal="center"/>
    </xf>
    <xf numFmtId="0" fontId="13" fillId="0" borderId="0" xfId="0" applyFont="1" applyAlignment="1">
      <alignment horizontal="right"/>
    </xf>
    <xf numFmtId="0" fontId="13" fillId="0" borderId="21" xfId="0" applyFont="1" applyBorder="1" applyAlignment="1">
      <alignment horizontal="right"/>
    </xf>
    <xf numFmtId="0" fontId="14" fillId="4" borderId="8" xfId="0" applyFont="1" applyFill="1" applyBorder="1" applyAlignment="1">
      <alignment horizontal="center"/>
    </xf>
    <xf numFmtId="0" fontId="14" fillId="4" borderId="24" xfId="0" applyFont="1" applyFill="1" applyBorder="1" applyAlignment="1">
      <alignment horizontal="center"/>
    </xf>
    <xf numFmtId="0" fontId="14" fillId="4" borderId="25" xfId="0" applyFont="1" applyFill="1" applyBorder="1" applyAlignment="1">
      <alignment horizontal="center"/>
    </xf>
    <xf numFmtId="0" fontId="7" fillId="0" borderId="0" xfId="0" applyFont="1" applyAlignment="1">
      <alignment horizontal="center"/>
    </xf>
    <xf numFmtId="0" fontId="30" fillId="27" borderId="1" xfId="0" applyFont="1" applyFill="1" applyBorder="1" applyAlignment="1">
      <alignment horizontal="right"/>
    </xf>
    <xf numFmtId="0" fontId="6" fillId="0" borderId="0" xfId="0" applyFont="1" applyAlignment="1">
      <alignment horizontal="center"/>
    </xf>
    <xf numFmtId="0" fontId="5" fillId="0" borderId="1" xfId="0" applyFont="1" applyBorder="1" applyAlignment="1">
      <alignment horizontal="center" vertical="center"/>
    </xf>
    <xf numFmtId="0" fontId="22" fillId="0" borderId="8" xfId="0" applyFont="1" applyBorder="1" applyAlignment="1">
      <alignment horizontal="center" vertical="center"/>
    </xf>
    <xf numFmtId="0" fontId="22" fillId="0" borderId="25" xfId="0" applyFont="1" applyBorder="1" applyAlignment="1">
      <alignment horizontal="center" vertical="center"/>
    </xf>
    <xf numFmtId="0" fontId="6" fillId="0" borderId="8" xfId="0" applyFont="1" applyBorder="1" applyAlignment="1">
      <alignment horizontal="center" vertical="center"/>
    </xf>
    <xf numFmtId="0" fontId="6" fillId="0" borderId="25" xfId="0" applyFont="1" applyBorder="1" applyAlignment="1">
      <alignment horizontal="center" vertical="center"/>
    </xf>
    <xf numFmtId="0" fontId="6" fillId="23" borderId="8" xfId="0" applyFont="1" applyFill="1" applyBorder="1" applyAlignment="1">
      <alignment horizontal="center" vertical="center"/>
    </xf>
    <xf numFmtId="0" fontId="6" fillId="23" borderId="24" xfId="0" applyFont="1" applyFill="1" applyBorder="1" applyAlignment="1">
      <alignment horizontal="center" vertical="center"/>
    </xf>
    <xf numFmtId="0" fontId="6" fillId="23" borderId="25" xfId="0" applyFont="1" applyFill="1" applyBorder="1" applyAlignment="1">
      <alignment horizontal="center" vertical="center"/>
    </xf>
    <xf numFmtId="0" fontId="6" fillId="15" borderId="1" xfId="0" applyFont="1" applyFill="1" applyBorder="1" applyAlignment="1">
      <alignment horizontal="center"/>
    </xf>
    <xf numFmtId="0" fontId="6" fillId="4" borderId="1" xfId="0" applyFont="1" applyFill="1" applyBorder="1" applyAlignment="1">
      <alignment horizontal="center"/>
    </xf>
    <xf numFmtId="0" fontId="5" fillId="0" borderId="8" xfId="0" applyFont="1" applyBorder="1" applyAlignment="1">
      <alignment horizontal="center"/>
    </xf>
    <xf numFmtId="0" fontId="5" fillId="0" borderId="25" xfId="0" applyFont="1" applyBorder="1" applyAlignment="1">
      <alignment horizontal="center"/>
    </xf>
    <xf numFmtId="0" fontId="6" fillId="23" borderId="39" xfId="0" applyFont="1" applyFill="1" applyBorder="1" applyAlignment="1">
      <alignment horizontal="center" vertical="center"/>
    </xf>
    <xf numFmtId="0" fontId="6" fillId="23" borderId="31" xfId="0" applyFont="1" applyFill="1" applyBorder="1" applyAlignment="1">
      <alignment horizontal="center" vertical="center"/>
    </xf>
    <xf numFmtId="0" fontId="6" fillId="23" borderId="37" xfId="0" applyFont="1" applyFill="1" applyBorder="1" applyAlignment="1">
      <alignment horizontal="center" vertical="center"/>
    </xf>
    <xf numFmtId="0" fontId="6" fillId="23" borderId="48" xfId="0" applyFont="1" applyFill="1" applyBorder="1" applyAlignment="1">
      <alignment horizontal="center" vertical="center"/>
    </xf>
    <xf numFmtId="0" fontId="6" fillId="3" borderId="1" xfId="0" applyFont="1" applyFill="1" applyBorder="1" applyAlignment="1">
      <alignment horizontal="center"/>
    </xf>
    <xf numFmtId="0" fontId="13" fillId="15" borderId="1" xfId="0" applyFont="1" applyFill="1" applyBorder="1" applyAlignment="1">
      <alignment horizontal="center" vertical="center"/>
    </xf>
    <xf numFmtId="0" fontId="13" fillId="0" borderId="1" xfId="0" applyFont="1" applyBorder="1" applyAlignment="1">
      <alignment horizontal="center" vertical="center"/>
    </xf>
    <xf numFmtId="0" fontId="6" fillId="23" borderId="1" xfId="0" applyFont="1" applyFill="1" applyBorder="1" applyAlignment="1">
      <alignment horizontal="center" vertical="center"/>
    </xf>
    <xf numFmtId="0" fontId="5" fillId="0" borderId="1" xfId="0" applyFont="1" applyBorder="1" applyAlignment="1">
      <alignment horizontal="center"/>
    </xf>
    <xf numFmtId="0" fontId="6" fillId="23" borderId="1" xfId="0" applyFont="1" applyFill="1" applyBorder="1" applyAlignment="1">
      <alignment horizontal="center"/>
    </xf>
    <xf numFmtId="0" fontId="5" fillId="0" borderId="0" xfId="0" applyFont="1" applyAlignment="1">
      <alignment horizontal="center"/>
    </xf>
    <xf numFmtId="0" fontId="6" fillId="4" borderId="8" xfId="0" applyFont="1" applyFill="1" applyBorder="1" applyAlignment="1">
      <alignment horizontal="center"/>
    </xf>
    <xf numFmtId="0" fontId="6" fillId="4" borderId="25" xfId="0" applyFont="1" applyFill="1" applyBorder="1" applyAlignment="1">
      <alignment horizontal="center"/>
    </xf>
    <xf numFmtId="0" fontId="6" fillId="4" borderId="8" xfId="0" applyFont="1" applyFill="1" applyBorder="1" applyAlignment="1">
      <alignment horizontal="left"/>
    </xf>
    <xf numFmtId="0" fontId="6" fillId="4" borderId="25" xfId="0" applyFont="1" applyFill="1" applyBorder="1" applyAlignment="1">
      <alignment horizontal="left"/>
    </xf>
    <xf numFmtId="0" fontId="19" fillId="15" borderId="8" xfId="0" applyFont="1" applyFill="1" applyBorder="1" applyAlignment="1">
      <alignment horizontal="center"/>
    </xf>
    <xf numFmtId="0" fontId="19" fillId="15" borderId="25" xfId="0" applyFont="1" applyFill="1" applyBorder="1" applyAlignment="1">
      <alignment horizontal="center"/>
    </xf>
    <xf numFmtId="0" fontId="6" fillId="4" borderId="8" xfId="0" applyFont="1" applyFill="1" applyBorder="1" applyAlignment="1">
      <alignment horizontal="right"/>
    </xf>
    <xf numFmtId="0" fontId="6" fillId="4" borderId="25" xfId="0" applyFont="1" applyFill="1" applyBorder="1" applyAlignment="1">
      <alignment horizontal="right"/>
    </xf>
    <xf numFmtId="0" fontId="6" fillId="0" borderId="1" xfId="0" applyFont="1" applyBorder="1" applyAlignment="1">
      <alignment horizontal="center"/>
    </xf>
    <xf numFmtId="0" fontId="6" fillId="23" borderId="18" xfId="0" applyFont="1" applyFill="1" applyBorder="1" applyAlignment="1">
      <alignment horizontal="center"/>
    </xf>
    <xf numFmtId="0" fontId="5" fillId="0" borderId="54" xfId="0" applyFont="1" applyBorder="1" applyAlignment="1">
      <alignment horizontal="center"/>
    </xf>
    <xf numFmtId="0" fontId="5" fillId="0" borderId="55" xfId="0" applyFont="1" applyBorder="1" applyAlignment="1">
      <alignment horizontal="center"/>
    </xf>
    <xf numFmtId="0" fontId="5" fillId="0" borderId="20" xfId="0" applyFont="1" applyBorder="1" applyAlignment="1">
      <alignment horizontal="center"/>
    </xf>
    <xf numFmtId="0" fontId="5" fillId="0" borderId="17" xfId="0" applyFont="1" applyBorder="1" applyAlignment="1">
      <alignment horizontal="center"/>
    </xf>
    <xf numFmtId="0" fontId="9" fillId="0" borderId="18" xfId="0" applyFont="1" applyBorder="1" applyAlignment="1">
      <alignment horizontal="center"/>
    </xf>
    <xf numFmtId="0" fontId="6" fillId="0" borderId="18" xfId="0" applyFont="1" applyBorder="1" applyAlignment="1">
      <alignment horizontal="center"/>
    </xf>
    <xf numFmtId="0" fontId="6" fillId="22" borderId="1" xfId="0" applyFont="1" applyFill="1" applyBorder="1" applyAlignment="1">
      <alignment horizontal="center"/>
    </xf>
    <xf numFmtId="0" fontId="6" fillId="22" borderId="17" xfId="0" applyFont="1" applyFill="1" applyBorder="1" applyAlignment="1">
      <alignment horizontal="center"/>
    </xf>
    <xf numFmtId="0" fontId="19" fillId="3" borderId="18" xfId="0" applyFont="1" applyFill="1" applyBorder="1" applyAlignment="1">
      <alignment horizontal="center"/>
    </xf>
    <xf numFmtId="0" fontId="6" fillId="4" borderId="9" xfId="0" applyFont="1" applyFill="1" applyBorder="1" applyAlignment="1">
      <alignment horizontal="center"/>
    </xf>
    <xf numFmtId="0" fontId="6" fillId="4" borderId="11" xfId="0" applyFont="1" applyFill="1" applyBorder="1" applyAlignment="1">
      <alignment horizontal="center"/>
    </xf>
    <xf numFmtId="0" fontId="6" fillId="0" borderId="54" xfId="0" applyFont="1" applyBorder="1" applyAlignment="1">
      <alignment horizontal="center"/>
    </xf>
    <xf numFmtId="0" fontId="6" fillId="0" borderId="55" xfId="0" applyFont="1" applyBorder="1" applyAlignment="1">
      <alignment horizontal="center"/>
    </xf>
    <xf numFmtId="0" fontId="6" fillId="0" borderId="39" xfId="0" applyFont="1" applyBorder="1" applyAlignment="1">
      <alignment horizontal="center"/>
    </xf>
    <xf numFmtId="0" fontId="19" fillId="0" borderId="55" xfId="0" applyFont="1" applyBorder="1" applyAlignment="1">
      <alignment horizontal="center"/>
    </xf>
    <xf numFmtId="0" fontId="19" fillId="0" borderId="20" xfId="0" applyFont="1" applyBorder="1" applyAlignment="1">
      <alignment horizontal="center"/>
    </xf>
    <xf numFmtId="0" fontId="6" fillId="0" borderId="17" xfId="0" applyFont="1" applyBorder="1" applyAlignment="1">
      <alignment horizontal="center"/>
    </xf>
    <xf numFmtId="0" fontId="19" fillId="0" borderId="56" xfId="0" applyFont="1" applyBorder="1" applyAlignment="1">
      <alignment horizontal="center"/>
    </xf>
    <xf numFmtId="0" fontId="20" fillId="19" borderId="1" xfId="0" applyFont="1" applyFill="1" applyBorder="1" applyAlignment="1">
      <alignment horizontal="center"/>
    </xf>
    <xf numFmtId="0" fontId="14" fillId="0" borderId="18" xfId="0" applyFont="1" applyBorder="1" applyAlignment="1">
      <alignment horizontal="center"/>
    </xf>
    <xf numFmtId="0" fontId="6" fillId="22" borderId="2" xfId="0" applyFont="1" applyFill="1" applyBorder="1" applyAlignment="1">
      <alignment horizontal="center"/>
    </xf>
    <xf numFmtId="0" fontId="6" fillId="22" borderId="3" xfId="0" applyFont="1" applyFill="1" applyBorder="1" applyAlignment="1">
      <alignment horizontal="center"/>
    </xf>
    <xf numFmtId="0" fontId="5" fillId="22" borderId="3" xfId="0" applyFont="1" applyFill="1" applyBorder="1" applyAlignment="1">
      <alignment horizontal="center"/>
    </xf>
    <xf numFmtId="0" fontId="6" fillId="8" borderId="8" xfId="0" applyFont="1" applyFill="1" applyBorder="1" applyAlignment="1">
      <alignment horizontal="center"/>
    </xf>
    <xf numFmtId="0" fontId="6" fillId="8" borderId="25" xfId="0" applyFont="1" applyFill="1" applyBorder="1" applyAlignment="1">
      <alignment horizontal="center"/>
    </xf>
    <xf numFmtId="0" fontId="5" fillId="0" borderId="18" xfId="0" applyFont="1" applyBorder="1" applyAlignment="1">
      <alignment horizontal="center"/>
    </xf>
    <xf numFmtId="0" fontId="19" fillId="0" borderId="50" xfId="0" applyFont="1" applyBorder="1" applyAlignment="1">
      <alignment horizontal="center"/>
    </xf>
    <xf numFmtId="0" fontId="19" fillId="0" borderId="24" xfId="0" applyFont="1" applyBorder="1" applyAlignment="1">
      <alignment horizontal="center"/>
    </xf>
    <xf numFmtId="0" fontId="19" fillId="0" borderId="25" xfId="0" applyFont="1" applyBorder="1" applyAlignment="1">
      <alignment horizontal="center"/>
    </xf>
    <xf numFmtId="0" fontId="19" fillId="0" borderId="29" xfId="0" applyFont="1" applyBorder="1" applyAlignment="1">
      <alignment horizontal="center"/>
    </xf>
    <xf numFmtId="0" fontId="19" fillId="0" borderId="23" xfId="0" applyFont="1" applyBorder="1" applyAlignment="1">
      <alignment horizontal="center"/>
    </xf>
    <xf numFmtId="0" fontId="19" fillId="0" borderId="31" xfId="0" applyFont="1" applyBorder="1" applyAlignment="1">
      <alignment horizontal="center"/>
    </xf>
    <xf numFmtId="0" fontId="6" fillId="0" borderId="50" xfId="0" applyFont="1" applyBorder="1" applyAlignment="1">
      <alignment horizontal="center"/>
    </xf>
    <xf numFmtId="0" fontId="6" fillId="0" borderId="24" xfId="0" applyFont="1" applyBorder="1" applyAlignment="1">
      <alignment horizontal="center"/>
    </xf>
    <xf numFmtId="0" fontId="6" fillId="0" borderId="25" xfId="0" applyFont="1" applyBorder="1" applyAlignment="1">
      <alignment horizontal="center"/>
    </xf>
    <xf numFmtId="0" fontId="6" fillId="0" borderId="29" xfId="0" applyFont="1" applyBorder="1" applyAlignment="1">
      <alignment horizontal="center"/>
    </xf>
    <xf numFmtId="0" fontId="6" fillId="0" borderId="23" xfId="0" applyFont="1" applyBorder="1" applyAlignment="1">
      <alignment horizontal="center"/>
    </xf>
    <xf numFmtId="0" fontId="6" fillId="0" borderId="31" xfId="0" applyFont="1" applyBorder="1" applyAlignment="1">
      <alignment horizontal="center"/>
    </xf>
    <xf numFmtId="0" fontId="19" fillId="0" borderId="9" xfId="0" applyFont="1" applyBorder="1" applyAlignment="1">
      <alignment horizontal="center"/>
    </xf>
    <xf numFmtId="0" fontId="19" fillId="0" borderId="10" xfId="0" applyFont="1" applyBorder="1" applyAlignment="1">
      <alignment horizontal="center"/>
    </xf>
    <xf numFmtId="0" fontId="19" fillId="0" borderId="51" xfId="0" applyFont="1" applyBorder="1" applyAlignment="1">
      <alignment horizontal="center"/>
    </xf>
    <xf numFmtId="0" fontId="22" fillId="0" borderId="8" xfId="0" applyFont="1" applyBorder="1" applyAlignment="1">
      <alignment horizontal="center"/>
    </xf>
    <xf numFmtId="0" fontId="22" fillId="0" borderId="24" xfId="0" applyFont="1" applyBorder="1" applyAlignment="1">
      <alignment horizontal="center"/>
    </xf>
    <xf numFmtId="0" fontId="22" fillId="0" borderId="25" xfId="0" applyFont="1" applyBorder="1" applyAlignment="1">
      <alignment horizontal="center"/>
    </xf>
    <xf numFmtId="0" fontId="22" fillId="0" borderId="37" xfId="0" applyFont="1" applyBorder="1" applyAlignment="1">
      <alignment horizontal="center"/>
    </xf>
    <xf numFmtId="0" fontId="22" fillId="0" borderId="47" xfId="0" applyFont="1" applyBorder="1" applyAlignment="1">
      <alignment horizontal="center"/>
    </xf>
    <xf numFmtId="0" fontId="22" fillId="0" borderId="48" xfId="0" applyFont="1" applyBorder="1" applyAlignment="1">
      <alignment horizontal="center"/>
    </xf>
    <xf numFmtId="0" fontId="6" fillId="22" borderId="62" xfId="0" applyFont="1" applyFill="1" applyBorder="1" applyAlignment="1">
      <alignment horizontal="center"/>
    </xf>
    <xf numFmtId="0" fontId="6" fillId="22" borderId="63" xfId="0" applyFont="1" applyFill="1" applyBorder="1" applyAlignment="1">
      <alignment horizontal="center"/>
    </xf>
    <xf numFmtId="0" fontId="6" fillId="4" borderId="16" xfId="0" applyFont="1" applyFill="1" applyBorder="1" applyAlignment="1">
      <alignment horizontal="center"/>
    </xf>
    <xf numFmtId="0" fontId="6" fillId="4" borderId="28" xfId="0" applyFont="1" applyFill="1" applyBorder="1" applyAlignment="1">
      <alignment horizontal="center"/>
    </xf>
    <xf numFmtId="0" fontId="6" fillId="0" borderId="52" xfId="0" applyFont="1" applyBorder="1" applyAlignment="1">
      <alignment horizontal="center"/>
    </xf>
    <xf numFmtId="0" fontId="22" fillId="0" borderId="52" xfId="0" applyFont="1" applyBorder="1" applyAlignment="1">
      <alignment horizontal="center"/>
    </xf>
    <xf numFmtId="0" fontId="22" fillId="0" borderId="17" xfId="0" applyFont="1" applyBorder="1" applyAlignment="1">
      <alignment horizontal="center"/>
    </xf>
    <xf numFmtId="0" fontId="22" fillId="0" borderId="9" xfId="0" applyFont="1" applyBorder="1" applyAlignment="1">
      <alignment horizontal="center"/>
    </xf>
    <xf numFmtId="0" fontId="22" fillId="0" borderId="10" xfId="0" applyFont="1" applyBorder="1" applyAlignment="1">
      <alignment horizontal="center"/>
    </xf>
    <xf numFmtId="0" fontId="22" fillId="0" borderId="51" xfId="0" applyFont="1" applyBorder="1" applyAlignment="1">
      <alignment horizontal="center"/>
    </xf>
    <xf numFmtId="0" fontId="6" fillId="0" borderId="8" xfId="0" applyFont="1" applyBorder="1" applyAlignment="1">
      <alignment horizontal="center"/>
    </xf>
    <xf numFmtId="0" fontId="0" fillId="0" borderId="16" xfId="0" applyBorder="1" applyAlignment="1">
      <alignment horizontal="center"/>
    </xf>
    <xf numFmtId="0" fontId="0" fillId="0" borderId="22" xfId="0" applyBorder="1" applyAlignment="1">
      <alignment horizontal="center"/>
    </xf>
    <xf numFmtId="0" fontId="0" fillId="0" borderId="28" xfId="0" applyBorder="1" applyAlignment="1">
      <alignment horizontal="center"/>
    </xf>
    <xf numFmtId="0" fontId="19" fillId="0" borderId="46" xfId="0" applyFont="1" applyBorder="1" applyAlignment="1">
      <alignment horizontal="center"/>
    </xf>
    <xf numFmtId="0" fontId="19" fillId="0" borderId="0" xfId="0" applyFont="1" applyAlignment="1">
      <alignment horizontal="center"/>
    </xf>
    <xf numFmtId="0" fontId="19" fillId="0" borderId="21" xfId="0" applyFont="1" applyBorder="1" applyAlignment="1">
      <alignment horizontal="center"/>
    </xf>
    <xf numFmtId="0" fontId="6" fillId="0" borderId="13" xfId="0" applyFont="1" applyBorder="1" applyAlignment="1">
      <alignment horizontal="center"/>
    </xf>
    <xf numFmtId="0" fontId="6" fillId="0" borderId="59" xfId="0" applyFont="1" applyBorder="1" applyAlignment="1">
      <alignment horizontal="center"/>
    </xf>
    <xf numFmtId="0" fontId="14" fillId="18" borderId="9" xfId="0" applyFont="1" applyFill="1" applyBorder="1" applyAlignment="1">
      <alignment horizontal="center"/>
    </xf>
    <xf numFmtId="0" fontId="14" fillId="18" borderId="11" xfId="0" applyFont="1" applyFill="1" applyBorder="1" applyAlignment="1">
      <alignment horizontal="center"/>
    </xf>
    <xf numFmtId="0" fontId="5" fillId="6" borderId="1" xfId="0" applyFont="1" applyFill="1" applyBorder="1" applyAlignment="1">
      <alignment horizontal="center"/>
    </xf>
    <xf numFmtId="0" fontId="9" fillId="0" borderId="17" xfId="0" applyFont="1" applyBorder="1" applyAlignment="1">
      <alignment horizontal="center"/>
    </xf>
    <xf numFmtId="0" fontId="9" fillId="0" borderId="3" xfId="0" applyFont="1" applyBorder="1" applyAlignment="1">
      <alignment horizontal="center"/>
    </xf>
    <xf numFmtId="0" fontId="9" fillId="2" borderId="3" xfId="0" applyFont="1" applyFill="1" applyBorder="1" applyAlignment="1">
      <alignment horizontal="center"/>
    </xf>
    <xf numFmtId="0" fontId="5" fillId="0" borderId="3" xfId="0" applyFont="1" applyBorder="1" applyAlignment="1">
      <alignment horizontal="center"/>
    </xf>
    <xf numFmtId="0" fontId="5" fillId="2" borderId="3" xfId="0" applyFont="1" applyFill="1" applyBorder="1" applyAlignment="1">
      <alignment horizontal="center"/>
    </xf>
    <xf numFmtId="0" fontId="5" fillId="2" borderId="41" xfId="0" applyFont="1" applyFill="1" applyBorder="1" applyAlignment="1">
      <alignment horizontal="center"/>
    </xf>
    <xf numFmtId="0" fontId="6" fillId="22" borderId="8" xfId="0" applyFont="1" applyFill="1" applyBorder="1" applyAlignment="1">
      <alignment horizontal="center"/>
    </xf>
    <xf numFmtId="0" fontId="19" fillId="0" borderId="66" xfId="0" applyFont="1" applyBorder="1" applyAlignment="1">
      <alignment horizontal="center"/>
    </xf>
    <xf numFmtId="0" fontId="19" fillId="0" borderId="58" xfId="0" applyFont="1" applyBorder="1" applyAlignment="1">
      <alignment horizontal="center"/>
    </xf>
    <xf numFmtId="0" fontId="6" fillId="0" borderId="56" xfId="0" applyFont="1" applyBorder="1" applyAlignment="1">
      <alignment horizontal="center"/>
    </xf>
    <xf numFmtId="0" fontId="5" fillId="22" borderId="7" xfId="0" applyFont="1" applyFill="1" applyBorder="1" applyAlignment="1">
      <alignment horizontal="center"/>
    </xf>
    <xf numFmtId="0" fontId="0" fillId="8" borderId="25" xfId="0" applyFill="1" applyBorder="1" applyAlignment="1">
      <alignment horizontal="center"/>
    </xf>
    <xf numFmtId="0" fontId="0" fillId="8" borderId="1" xfId="0" applyFill="1" applyBorder="1" applyAlignment="1">
      <alignment horizontal="center"/>
    </xf>
    <xf numFmtId="0" fontId="19" fillId="0" borderId="57" xfId="0" applyFont="1" applyBorder="1" applyAlignment="1">
      <alignment horizontal="center"/>
    </xf>
    <xf numFmtId="0" fontId="19" fillId="0" borderId="47" xfId="0" applyFont="1" applyBorder="1" applyAlignment="1">
      <alignment horizontal="center"/>
    </xf>
    <xf numFmtId="0" fontId="19" fillId="0" borderId="48" xfId="0" applyFont="1" applyBorder="1" applyAlignment="1">
      <alignment horizontal="center"/>
    </xf>
    <xf numFmtId="0" fontId="41" fillId="0" borderId="1" xfId="0" applyFont="1" applyBorder="1" applyAlignment="1">
      <alignment horizontal="center"/>
    </xf>
    <xf numFmtId="0" fontId="41" fillId="0" borderId="8" xfId="0" applyFont="1" applyBorder="1" applyAlignment="1">
      <alignment horizontal="center"/>
    </xf>
    <xf numFmtId="0" fontId="41" fillId="0" borderId="24" xfId="0" applyFont="1" applyBorder="1" applyAlignment="1">
      <alignment horizontal="center"/>
    </xf>
    <xf numFmtId="0" fontId="41" fillId="0" borderId="25" xfId="0" applyFont="1" applyBorder="1" applyAlignment="1">
      <alignment horizontal="center"/>
    </xf>
    <xf numFmtId="0" fontId="5" fillId="6" borderId="8" xfId="0" applyFont="1" applyFill="1" applyBorder="1" applyAlignment="1">
      <alignment horizontal="center"/>
    </xf>
    <xf numFmtId="0" fontId="0" fillId="0" borderId="23" xfId="0" applyBorder="1" applyAlignment="1">
      <alignment horizontal="center"/>
    </xf>
    <xf numFmtId="0" fontId="43" fillId="0" borderId="0" xfId="0" applyFont="1" applyAlignment="1">
      <alignment horizontal="center"/>
    </xf>
  </cellXfs>
  <cellStyles count="1">
    <cellStyle name="Normal" xfId="0" builtinId="0"/>
  </cellStyles>
  <dxfs count="0"/>
  <tableStyles count="0" defaultTableStyle="TableStyleMedium9" defaultPivotStyle="PivotStyleLight16"/>
  <colors>
    <mruColors>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n-US"/>
            </a:pPr>
            <a:r>
              <a:rPr lang="el-GR"/>
              <a:t>τ</a:t>
            </a:r>
            <a:r>
              <a:rPr lang="az-Cyrl-AZ"/>
              <a:t>эф</a:t>
            </a:r>
            <a:r>
              <a:rPr lang="ar-EG"/>
              <a:t>حساب </a:t>
            </a:r>
            <a:endParaRPr lang="el-GR"/>
          </a:p>
        </c:rich>
      </c:tx>
      <c:overlay val="0"/>
    </c:title>
    <c:autoTitleDeleted val="0"/>
    <c:plotArea>
      <c:layout/>
      <c:scatterChart>
        <c:scatterStyle val="smoothMarker"/>
        <c:varyColors val="0"/>
        <c:ser>
          <c:idx val="0"/>
          <c:order val="0"/>
          <c:tx>
            <c:strRef>
              <c:f>Sheet1!$H$114</c:f>
              <c:strCache>
                <c:ptCount val="1"/>
                <c:pt idx="0">
                  <c:v>τэф/τ</c:v>
                </c:pt>
              </c:strCache>
            </c:strRef>
          </c:tx>
          <c:marker>
            <c:symbol val="none"/>
          </c:marker>
          <c:trendline>
            <c:trendlineType val="poly"/>
            <c:order val="2"/>
            <c:dispRSqr val="0"/>
            <c:dispEq val="1"/>
            <c:trendlineLbl>
              <c:layout>
                <c:manualLayout>
                  <c:x val="0.15503402572416145"/>
                  <c:y val="-0.37768929260984618"/>
                </c:manualLayout>
              </c:layout>
              <c:numFmt formatCode="General" sourceLinked="0"/>
              <c:txPr>
                <a:bodyPr/>
                <a:lstStyle/>
                <a:p>
                  <a:pPr>
                    <a:defRPr lang="en-US"/>
                  </a:pPr>
                  <a:endParaRPr lang="ar-SY"/>
                </a:p>
              </c:txPr>
            </c:trendlineLbl>
          </c:trendline>
          <c:xVal>
            <c:numRef>
              <c:f>Sheet1!$I$113:$N$113</c:f>
              <c:numCache>
                <c:formatCode>General</c:formatCode>
                <c:ptCount val="6"/>
                <c:pt idx="0">
                  <c:v>0</c:v>
                </c:pt>
                <c:pt idx="1">
                  <c:v>5</c:v>
                </c:pt>
                <c:pt idx="2">
                  <c:v>10</c:v>
                </c:pt>
                <c:pt idx="3">
                  <c:v>15</c:v>
                </c:pt>
                <c:pt idx="4">
                  <c:v>20</c:v>
                </c:pt>
                <c:pt idx="5">
                  <c:v>25</c:v>
                </c:pt>
              </c:numCache>
            </c:numRef>
          </c:xVal>
          <c:yVal>
            <c:numRef>
              <c:f>Sheet1!$I$114:$N$114</c:f>
              <c:numCache>
                <c:formatCode>General</c:formatCode>
                <c:ptCount val="6"/>
                <c:pt idx="0">
                  <c:v>1</c:v>
                </c:pt>
                <c:pt idx="1">
                  <c:v>0.83</c:v>
                </c:pt>
                <c:pt idx="2">
                  <c:v>0.69499999999999995</c:v>
                </c:pt>
                <c:pt idx="3">
                  <c:v>0.59499999999999997</c:v>
                </c:pt>
                <c:pt idx="4">
                  <c:v>0.53800000000000003</c:v>
                </c:pt>
                <c:pt idx="5">
                  <c:v>0.52</c:v>
                </c:pt>
              </c:numCache>
            </c:numRef>
          </c:yVal>
          <c:smooth val="1"/>
          <c:extLst>
            <c:ext xmlns:c16="http://schemas.microsoft.com/office/drawing/2014/chart" uri="{C3380CC4-5D6E-409C-BE32-E72D297353CC}">
              <c16:uniqueId val="{00000001-8C40-455B-BB04-4095DE73B246}"/>
            </c:ext>
          </c:extLst>
        </c:ser>
        <c:dLbls>
          <c:showLegendKey val="0"/>
          <c:showVal val="0"/>
          <c:showCatName val="0"/>
          <c:showSerName val="0"/>
          <c:showPercent val="0"/>
          <c:showBubbleSize val="0"/>
        </c:dLbls>
        <c:axId val="50473984"/>
        <c:axId val="50484352"/>
      </c:scatterChart>
      <c:valAx>
        <c:axId val="50473984"/>
        <c:scaling>
          <c:orientation val="minMax"/>
          <c:max val="40"/>
        </c:scaling>
        <c:delete val="0"/>
        <c:axPos val="b"/>
        <c:minorGridlines/>
        <c:title>
          <c:tx>
            <c:rich>
              <a:bodyPr/>
              <a:lstStyle/>
              <a:p>
                <a:pPr>
                  <a:defRPr lang="en-US"/>
                </a:pPr>
                <a:r>
                  <a:rPr lang="en-US"/>
                  <a:t>max</a:t>
                </a:r>
                <a:r>
                  <a:rPr lang="az-Cyrl-AZ">
                    <a:latin typeface="Times New Roman"/>
                    <a:cs typeface="Times New Roman"/>
                  </a:rPr>
                  <a:t>бв</a:t>
                </a:r>
                <a:endParaRPr lang="en-US"/>
              </a:p>
            </c:rich>
          </c:tx>
          <c:overlay val="0"/>
        </c:title>
        <c:numFmt formatCode="General" sourceLinked="1"/>
        <c:majorTickMark val="none"/>
        <c:minorTickMark val="none"/>
        <c:tickLblPos val="nextTo"/>
        <c:txPr>
          <a:bodyPr/>
          <a:lstStyle/>
          <a:p>
            <a:pPr>
              <a:defRPr lang="en-US"/>
            </a:pPr>
            <a:endParaRPr lang="ar-SY"/>
          </a:p>
        </c:txPr>
        <c:crossAx val="50484352"/>
        <c:crosses val="autoZero"/>
        <c:crossBetween val="midCat"/>
      </c:valAx>
      <c:valAx>
        <c:axId val="50484352"/>
        <c:scaling>
          <c:orientation val="minMax"/>
        </c:scaling>
        <c:delete val="0"/>
        <c:axPos val="l"/>
        <c:majorGridlines/>
        <c:title>
          <c:tx>
            <c:rich>
              <a:bodyPr/>
              <a:lstStyle/>
              <a:p>
                <a:pPr>
                  <a:defRPr lang="en-US" sz="1200">
                    <a:latin typeface="Times New Roman"/>
                    <a:cs typeface="Times New Roman"/>
                  </a:defRPr>
                </a:pPr>
                <a:r>
                  <a:rPr lang="en-US" sz="1200">
                    <a:latin typeface="Times New Roman"/>
                    <a:cs typeface="Times New Roman"/>
                  </a:rPr>
                  <a:t>τ</a:t>
                </a:r>
                <a:r>
                  <a:rPr lang="az-Cyrl-AZ" sz="1200">
                    <a:latin typeface="Times New Roman"/>
                    <a:cs typeface="Times New Roman"/>
                  </a:rPr>
                  <a:t>эф/</a:t>
                </a:r>
                <a:r>
                  <a:rPr lang="el-GR" sz="1200">
                    <a:latin typeface="Times New Roman"/>
                    <a:cs typeface="Times New Roman"/>
                  </a:rPr>
                  <a:t>τ</a:t>
                </a:r>
                <a:endParaRPr lang="en-US" sz="1200"/>
              </a:p>
            </c:rich>
          </c:tx>
          <c:overlay val="0"/>
        </c:title>
        <c:numFmt formatCode="General" sourceLinked="1"/>
        <c:majorTickMark val="none"/>
        <c:minorTickMark val="none"/>
        <c:tickLblPos val="nextTo"/>
        <c:txPr>
          <a:bodyPr/>
          <a:lstStyle/>
          <a:p>
            <a:pPr>
              <a:defRPr lang="en-US"/>
            </a:pPr>
            <a:endParaRPr lang="ar-SY"/>
          </a:p>
        </c:txPr>
        <c:crossAx val="50473984"/>
        <c:crosses val="autoZero"/>
        <c:crossBetween val="midCat"/>
        <c:majorUnit val="0.1"/>
      </c:valAx>
    </c:plotArea>
    <c:legend>
      <c:legendPos val="r"/>
      <c:overlay val="0"/>
      <c:txPr>
        <a:bodyPr/>
        <a:lstStyle/>
        <a:p>
          <a:pPr>
            <a:defRPr lang="en-US"/>
          </a:pPr>
          <a:endParaRPr lang="ar-SY"/>
        </a:p>
      </c:txPr>
    </c:legend>
    <c:plotVisOnly val="1"/>
    <c:dispBlanksAs val="gap"/>
    <c:showDLblsOverMax val="0"/>
  </c:chart>
  <c:printSettings>
    <c:headerFooter/>
    <c:pageMargins b="0.75000000000000533" l="0.70000000000000062" r="0.70000000000000062" t="0.750000000000005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xVal>
            <c:numRef>
              <c:f>Sheet1!$D$168:$H$168</c:f>
              <c:numCache>
                <c:formatCode>General</c:formatCode>
                <c:ptCount val="5"/>
                <c:pt idx="0">
                  <c:v>0.1</c:v>
                </c:pt>
                <c:pt idx="1">
                  <c:v>0.2</c:v>
                </c:pt>
                <c:pt idx="2">
                  <c:v>0.3</c:v>
                </c:pt>
                <c:pt idx="3">
                  <c:v>0.4</c:v>
                </c:pt>
                <c:pt idx="4">
                  <c:v>0.5</c:v>
                </c:pt>
              </c:numCache>
            </c:numRef>
          </c:xVal>
          <c:yVal>
            <c:numRef>
              <c:f>Sheet1!$D$169:$H$169</c:f>
              <c:numCache>
                <c:formatCode>General</c:formatCode>
                <c:ptCount val="5"/>
                <c:pt idx="0">
                  <c:v>1</c:v>
                </c:pt>
                <c:pt idx="1">
                  <c:v>0.87</c:v>
                </c:pt>
                <c:pt idx="2">
                  <c:v>0.74</c:v>
                </c:pt>
                <c:pt idx="3">
                  <c:v>0.61499999999999999</c:v>
                </c:pt>
                <c:pt idx="4">
                  <c:v>0.5</c:v>
                </c:pt>
              </c:numCache>
            </c:numRef>
          </c:yVal>
          <c:smooth val="1"/>
          <c:extLst>
            <c:ext xmlns:c16="http://schemas.microsoft.com/office/drawing/2014/chart" uri="{C3380CC4-5D6E-409C-BE32-E72D297353CC}">
              <c16:uniqueId val="{00000000-2A30-417B-8394-CF62EE2483A1}"/>
            </c:ext>
          </c:extLst>
        </c:ser>
        <c:dLbls>
          <c:showLegendKey val="0"/>
          <c:showVal val="0"/>
          <c:showCatName val="0"/>
          <c:showSerName val="0"/>
          <c:showPercent val="0"/>
          <c:showBubbleSize val="0"/>
        </c:dLbls>
        <c:axId val="50427008"/>
        <c:axId val="50428928"/>
      </c:scatterChart>
      <c:valAx>
        <c:axId val="50427008"/>
        <c:scaling>
          <c:orientation val="minMax"/>
        </c:scaling>
        <c:delete val="0"/>
        <c:axPos val="b"/>
        <c:majorGridlines/>
        <c:minorGridlines/>
        <c:title>
          <c:overlay val="0"/>
          <c:txPr>
            <a:bodyPr/>
            <a:lstStyle/>
            <a:p>
              <a:pPr>
                <a:defRPr lang="en-US">
                  <a:latin typeface="Times New Roman"/>
                  <a:cs typeface="Times New Roman"/>
                </a:defRPr>
              </a:pPr>
              <a:endParaRPr lang="ar-SY"/>
            </a:p>
          </c:txPr>
        </c:title>
        <c:numFmt formatCode="General" sourceLinked="1"/>
        <c:majorTickMark val="none"/>
        <c:minorTickMark val="none"/>
        <c:tickLblPos val="nextTo"/>
        <c:txPr>
          <a:bodyPr/>
          <a:lstStyle/>
          <a:p>
            <a:pPr>
              <a:defRPr lang="en-US" b="1">
                <a:latin typeface="Times New Roman" pitchFamily="18" charset="0"/>
                <a:cs typeface="Times New Roman" pitchFamily="18" charset="0"/>
              </a:defRPr>
            </a:pPr>
            <a:endParaRPr lang="ar-SY"/>
          </a:p>
        </c:txPr>
        <c:crossAx val="50428928"/>
        <c:crosses val="autoZero"/>
        <c:crossBetween val="midCat"/>
      </c:valAx>
      <c:valAx>
        <c:axId val="50428928"/>
        <c:scaling>
          <c:orientation val="minMax"/>
        </c:scaling>
        <c:delete val="0"/>
        <c:axPos val="l"/>
        <c:majorGridlines/>
        <c:minorGridlines/>
        <c:title>
          <c:tx>
            <c:rich>
              <a:bodyPr/>
              <a:lstStyle/>
              <a:p>
                <a:pPr>
                  <a:defRPr lang="en-US">
                    <a:latin typeface="Times New Roman" pitchFamily="18" charset="0"/>
                    <a:cs typeface="Times New Roman" pitchFamily="18" charset="0"/>
                  </a:defRPr>
                </a:pPr>
                <a:r>
                  <a:rPr lang="en-US">
                    <a:latin typeface="Times New Roman" pitchFamily="18" charset="0"/>
                    <a:cs typeface="Times New Roman" pitchFamily="18" charset="0"/>
                  </a:rPr>
                  <a:t>H/</a:t>
                </a:r>
                <a:r>
                  <a:rPr lang="en-US" sz="1200">
                    <a:latin typeface="Times New Roman" pitchFamily="18" charset="0"/>
                    <a:cs typeface="Times New Roman" pitchFamily="18" charset="0"/>
                  </a:rPr>
                  <a:t>a</a:t>
                </a:r>
                <a:r>
                  <a:rPr lang="en-US">
                    <a:latin typeface="Times New Roman" pitchFamily="18" charset="0"/>
                    <a:cs typeface="Times New Roman" pitchFamily="18" charset="0"/>
                  </a:rPr>
                  <a:t>p</a:t>
                </a:r>
              </a:p>
            </c:rich>
          </c:tx>
          <c:overlay val="0"/>
        </c:title>
        <c:numFmt formatCode="General" sourceLinked="1"/>
        <c:majorTickMark val="none"/>
        <c:minorTickMark val="none"/>
        <c:tickLblPos val="nextTo"/>
        <c:txPr>
          <a:bodyPr/>
          <a:lstStyle/>
          <a:p>
            <a:pPr>
              <a:defRPr lang="en-US" b="1">
                <a:latin typeface="Times New Roman" pitchFamily="18" charset="0"/>
                <a:cs typeface="Times New Roman" pitchFamily="18" charset="0"/>
              </a:defRPr>
            </a:pPr>
            <a:endParaRPr lang="ar-SY"/>
          </a:p>
        </c:txPr>
        <c:crossAx val="50427008"/>
        <c:crosses val="autoZero"/>
        <c:crossBetween val="midCat"/>
      </c:valAx>
    </c:plotArea>
    <c:legend>
      <c:legendPos val="r"/>
      <c:overlay val="0"/>
      <c:txPr>
        <a:bodyPr/>
        <a:lstStyle/>
        <a:p>
          <a:pPr>
            <a:defRPr lang="en-US"/>
          </a:pPr>
          <a:endParaRPr lang="ar-SY"/>
        </a:p>
      </c:txPr>
    </c:legend>
    <c:plotVisOnly val="1"/>
    <c:dispBlanksAs val="gap"/>
    <c:showDLblsOverMax val="0"/>
  </c:chart>
  <c:printSettings>
    <c:headerFooter/>
    <c:pageMargins b="0.750000000000005" l="0.70000000000000062" r="0.70000000000000062" t="0.75000000000000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n-US"/>
            </a:pPr>
            <a:r>
              <a:rPr lang="ar-EG"/>
              <a:t> </a:t>
            </a:r>
            <a:r>
              <a:rPr lang="en-US"/>
              <a:t>K</a:t>
            </a:r>
            <a:r>
              <a:rPr lang="az-Cyrl-AZ">
                <a:latin typeface="Times New Roman"/>
                <a:cs typeface="Times New Roman"/>
              </a:rPr>
              <a:t>д</a:t>
            </a:r>
            <a:r>
              <a:rPr lang="en-US">
                <a:latin typeface="Times New Roman"/>
                <a:cs typeface="Times New Roman"/>
              </a:rPr>
              <a:t> </a:t>
            </a:r>
            <a:r>
              <a:rPr lang="ar-EG"/>
              <a:t>حساب</a:t>
            </a:r>
          </a:p>
        </c:rich>
      </c:tx>
      <c:overlay val="0"/>
    </c:title>
    <c:autoTitleDeleted val="0"/>
    <c:plotArea>
      <c:layout/>
      <c:scatterChart>
        <c:scatterStyle val="smoothMarker"/>
        <c:varyColors val="0"/>
        <c:ser>
          <c:idx val="0"/>
          <c:order val="0"/>
          <c:tx>
            <c:v>k=3</c:v>
          </c:tx>
          <c:xVal>
            <c:numRef>
              <c:f>[1]Sheet2!$A$1:$H$1</c:f>
              <c:numCache>
                <c:formatCode>General</c:formatCode>
                <c:ptCount val="8"/>
                <c:pt idx="0">
                  <c:v>0</c:v>
                </c:pt>
                <c:pt idx="1">
                  <c:v>1</c:v>
                </c:pt>
                <c:pt idx="2">
                  <c:v>2</c:v>
                </c:pt>
                <c:pt idx="3">
                  <c:v>4</c:v>
                </c:pt>
                <c:pt idx="4">
                  <c:v>6</c:v>
                </c:pt>
                <c:pt idx="5">
                  <c:v>8</c:v>
                </c:pt>
                <c:pt idx="6">
                  <c:v>10</c:v>
                </c:pt>
                <c:pt idx="7">
                  <c:v>12</c:v>
                </c:pt>
              </c:numCache>
            </c:numRef>
          </c:xVal>
          <c:yVal>
            <c:numRef>
              <c:f>[1]Sheet2!$A$2:$H$2</c:f>
              <c:numCache>
                <c:formatCode>General</c:formatCode>
                <c:ptCount val="8"/>
                <c:pt idx="0">
                  <c:v>0</c:v>
                </c:pt>
                <c:pt idx="1">
                  <c:v>0.8</c:v>
                </c:pt>
                <c:pt idx="2">
                  <c:v>1.05</c:v>
                </c:pt>
                <c:pt idx="3">
                  <c:v>1</c:v>
                </c:pt>
                <c:pt idx="4">
                  <c:v>0.95</c:v>
                </c:pt>
                <c:pt idx="5">
                  <c:v>0.92</c:v>
                </c:pt>
                <c:pt idx="6">
                  <c:v>0.93</c:v>
                </c:pt>
                <c:pt idx="7">
                  <c:v>1</c:v>
                </c:pt>
              </c:numCache>
            </c:numRef>
          </c:yVal>
          <c:smooth val="1"/>
          <c:extLst>
            <c:ext xmlns:c16="http://schemas.microsoft.com/office/drawing/2014/chart" uri="{C3380CC4-5D6E-409C-BE32-E72D297353CC}">
              <c16:uniqueId val="{00000000-5926-4773-99C7-60B7672D8D55}"/>
            </c:ext>
          </c:extLst>
        </c:ser>
        <c:dLbls>
          <c:showLegendKey val="0"/>
          <c:showVal val="0"/>
          <c:showCatName val="0"/>
          <c:showSerName val="0"/>
          <c:showPercent val="0"/>
          <c:showBubbleSize val="0"/>
        </c:dLbls>
        <c:axId val="50816128"/>
        <c:axId val="50818048"/>
      </c:scatterChart>
      <c:valAx>
        <c:axId val="50816128"/>
        <c:scaling>
          <c:orientation val="minMax"/>
        </c:scaling>
        <c:delete val="0"/>
        <c:axPos val="b"/>
        <c:majorGridlines/>
        <c:minorGridlines/>
        <c:title>
          <c:tx>
            <c:rich>
              <a:bodyPr/>
              <a:lstStyle/>
              <a:p>
                <a:pPr>
                  <a:defRPr lang="en-US">
                    <a:latin typeface="Times New Roman" pitchFamily="18" charset="0"/>
                    <a:cs typeface="Times New Roman" pitchFamily="18" charset="0"/>
                  </a:defRPr>
                </a:pPr>
                <a:r>
                  <a:rPr lang="el-GR" sz="1400">
                    <a:latin typeface="Times New Roman" pitchFamily="18" charset="0"/>
                    <a:cs typeface="Times New Roman" pitchFamily="18" charset="0"/>
                  </a:rPr>
                  <a:t>ωτ</a:t>
                </a:r>
                <a:r>
                  <a:rPr lang="az-Cyrl-AZ">
                    <a:latin typeface="Times New Roman" pitchFamily="18" charset="0"/>
                    <a:cs typeface="Times New Roman" pitchFamily="18" charset="0"/>
                  </a:rPr>
                  <a:t>н</a:t>
                </a:r>
              </a:p>
            </c:rich>
          </c:tx>
          <c:overlay val="0"/>
        </c:title>
        <c:numFmt formatCode="General" sourceLinked="1"/>
        <c:majorTickMark val="none"/>
        <c:minorTickMark val="none"/>
        <c:tickLblPos val="nextTo"/>
        <c:txPr>
          <a:bodyPr/>
          <a:lstStyle/>
          <a:p>
            <a:pPr>
              <a:defRPr lang="en-US" b="1" i="0" baseline="0">
                <a:latin typeface="Times New Roman" pitchFamily="18" charset="0"/>
              </a:defRPr>
            </a:pPr>
            <a:endParaRPr lang="ar-SY"/>
          </a:p>
        </c:txPr>
        <c:crossAx val="50818048"/>
        <c:crosses val="autoZero"/>
        <c:crossBetween val="midCat"/>
        <c:majorUnit val="1"/>
      </c:valAx>
      <c:valAx>
        <c:axId val="50818048"/>
        <c:scaling>
          <c:orientation val="minMax"/>
        </c:scaling>
        <c:delete val="0"/>
        <c:axPos val="l"/>
        <c:majorGridlines/>
        <c:title>
          <c:tx>
            <c:rich>
              <a:bodyPr/>
              <a:lstStyle/>
              <a:p>
                <a:pPr>
                  <a:defRPr lang="en-US"/>
                </a:pPr>
                <a:r>
                  <a:rPr lang="en-US"/>
                  <a:t>K</a:t>
                </a:r>
                <a:r>
                  <a:rPr lang="az-Cyrl-AZ"/>
                  <a:t>д</a:t>
                </a:r>
              </a:p>
            </c:rich>
          </c:tx>
          <c:overlay val="0"/>
        </c:title>
        <c:numFmt formatCode="General" sourceLinked="1"/>
        <c:majorTickMark val="none"/>
        <c:minorTickMark val="none"/>
        <c:tickLblPos val="nextTo"/>
        <c:txPr>
          <a:bodyPr/>
          <a:lstStyle/>
          <a:p>
            <a:pPr>
              <a:defRPr lang="en-US" sz="900" b="1" i="0" baseline="0">
                <a:latin typeface="Times New Roman" pitchFamily="18" charset="0"/>
              </a:defRPr>
            </a:pPr>
            <a:endParaRPr lang="ar-SY"/>
          </a:p>
        </c:txPr>
        <c:crossAx val="50816128"/>
        <c:crosses val="autoZero"/>
        <c:crossBetween val="midCat"/>
        <c:majorUnit val="0.1"/>
      </c:valAx>
    </c:plotArea>
    <c:legend>
      <c:legendPos val="r"/>
      <c:overlay val="0"/>
      <c:txPr>
        <a:bodyPr/>
        <a:lstStyle/>
        <a:p>
          <a:pPr>
            <a:defRPr lang="en-US"/>
          </a:pPr>
          <a:endParaRPr lang="ar-SY"/>
        </a:p>
      </c:txPr>
    </c:legend>
    <c:plotVisOnly val="1"/>
    <c:dispBlanksAs val="gap"/>
    <c:showDLblsOverMax val="0"/>
  </c:chart>
  <c:spPr>
    <a:ln w="25400" cmpd="sng"/>
  </c:spPr>
  <c:printSettings>
    <c:headerFooter/>
    <c:pageMargins b="0.75000000000000488" l="0.70000000000000062" r="0.70000000000000062" t="0.75000000000000488"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n-US"/>
            </a:pPr>
            <a:r>
              <a:rPr lang="ar-EG"/>
              <a:t> حساب  </a:t>
            </a:r>
            <a:r>
              <a:rPr lang="en-US"/>
              <a:t>k</a:t>
            </a:r>
            <a:r>
              <a:rPr lang="az-Cyrl-AZ">
                <a:latin typeface="Times New Roman"/>
                <a:cs typeface="Times New Roman"/>
              </a:rPr>
              <a:t>п</a:t>
            </a:r>
            <a:r>
              <a:rPr lang="en-US"/>
              <a:t>   </a:t>
            </a:r>
          </a:p>
        </c:rich>
      </c:tx>
      <c:overlay val="0"/>
    </c:title>
    <c:autoTitleDeleted val="0"/>
    <c:plotArea>
      <c:layout/>
      <c:scatterChart>
        <c:scatterStyle val="smoothMarker"/>
        <c:varyColors val="0"/>
        <c:ser>
          <c:idx val="0"/>
          <c:order val="0"/>
          <c:xVal>
            <c:numRef>
              <c:f>[1]Sheet2!$J$2:$U$2</c:f>
              <c:numCache>
                <c:formatCode>General</c:formatCode>
                <c:ptCount val="12"/>
                <c:pt idx="0">
                  <c:v>0</c:v>
                </c:pt>
                <c:pt idx="1">
                  <c:v>0.5</c:v>
                </c:pt>
                <c:pt idx="2">
                  <c:v>1</c:v>
                </c:pt>
                <c:pt idx="3">
                  <c:v>2</c:v>
                </c:pt>
                <c:pt idx="4">
                  <c:v>3</c:v>
                </c:pt>
                <c:pt idx="5">
                  <c:v>4</c:v>
                </c:pt>
                <c:pt idx="6">
                  <c:v>5</c:v>
                </c:pt>
                <c:pt idx="7">
                  <c:v>6</c:v>
                </c:pt>
                <c:pt idx="8">
                  <c:v>7</c:v>
                </c:pt>
                <c:pt idx="9">
                  <c:v>8</c:v>
                </c:pt>
                <c:pt idx="10">
                  <c:v>9</c:v>
                </c:pt>
                <c:pt idx="11">
                  <c:v>10</c:v>
                </c:pt>
              </c:numCache>
            </c:numRef>
          </c:xVal>
          <c:yVal>
            <c:numRef>
              <c:f>[1]Sheet2!$J$3:$U$3</c:f>
              <c:numCache>
                <c:formatCode>General</c:formatCode>
                <c:ptCount val="12"/>
                <c:pt idx="0">
                  <c:v>0.5</c:v>
                </c:pt>
                <c:pt idx="1">
                  <c:v>0.7</c:v>
                </c:pt>
                <c:pt idx="2">
                  <c:v>0.81</c:v>
                </c:pt>
                <c:pt idx="3">
                  <c:v>0.9</c:v>
                </c:pt>
                <c:pt idx="4">
                  <c:v>0.92</c:v>
                </c:pt>
                <c:pt idx="5">
                  <c:v>0.94</c:v>
                </c:pt>
                <c:pt idx="6">
                  <c:v>0.95</c:v>
                </c:pt>
                <c:pt idx="7">
                  <c:v>0.95499999999999996</c:v>
                </c:pt>
                <c:pt idx="8">
                  <c:v>0.96</c:v>
                </c:pt>
                <c:pt idx="9">
                  <c:v>0.96499999999999997</c:v>
                </c:pt>
                <c:pt idx="10">
                  <c:v>0.97</c:v>
                </c:pt>
                <c:pt idx="11">
                  <c:v>0.97499999999999998</c:v>
                </c:pt>
              </c:numCache>
            </c:numRef>
          </c:yVal>
          <c:smooth val="1"/>
          <c:extLst>
            <c:ext xmlns:c16="http://schemas.microsoft.com/office/drawing/2014/chart" uri="{C3380CC4-5D6E-409C-BE32-E72D297353CC}">
              <c16:uniqueId val="{00000000-D9BE-4A76-B07A-A8161886BDA4}"/>
            </c:ext>
          </c:extLst>
        </c:ser>
        <c:dLbls>
          <c:showLegendKey val="0"/>
          <c:showVal val="0"/>
          <c:showCatName val="0"/>
          <c:showSerName val="0"/>
          <c:showPercent val="0"/>
          <c:showBubbleSize val="0"/>
        </c:dLbls>
        <c:axId val="50834432"/>
        <c:axId val="50967680"/>
      </c:scatterChart>
      <c:valAx>
        <c:axId val="50834432"/>
        <c:scaling>
          <c:orientation val="minMax"/>
        </c:scaling>
        <c:delete val="0"/>
        <c:axPos val="b"/>
        <c:majorGridlines/>
        <c:minorGridlines/>
        <c:title>
          <c:tx>
            <c:rich>
              <a:bodyPr/>
              <a:lstStyle/>
              <a:p>
                <a:pPr>
                  <a:defRPr lang="en-US" sz="1400">
                    <a:latin typeface="Times New Roman" pitchFamily="18" charset="0"/>
                    <a:cs typeface="Times New Roman" pitchFamily="18" charset="0"/>
                  </a:defRPr>
                </a:pPr>
                <a:r>
                  <a:rPr lang="el-GR" sz="1400">
                    <a:latin typeface="Times New Roman" pitchFamily="18" charset="0"/>
                    <a:cs typeface="Times New Roman" pitchFamily="18" charset="0"/>
                  </a:rPr>
                  <a:t>λ</a:t>
                </a:r>
              </a:p>
            </c:rich>
          </c:tx>
          <c:overlay val="0"/>
        </c:title>
        <c:numFmt formatCode="General" sourceLinked="1"/>
        <c:majorTickMark val="none"/>
        <c:minorTickMark val="none"/>
        <c:tickLblPos val="nextTo"/>
        <c:txPr>
          <a:bodyPr/>
          <a:lstStyle/>
          <a:p>
            <a:pPr>
              <a:defRPr lang="en-US" b="1">
                <a:latin typeface="Times New Roman" pitchFamily="18" charset="0"/>
                <a:cs typeface="Times New Roman" pitchFamily="18" charset="0"/>
              </a:defRPr>
            </a:pPr>
            <a:endParaRPr lang="ar-SY"/>
          </a:p>
        </c:txPr>
        <c:crossAx val="50967680"/>
        <c:crosses val="autoZero"/>
        <c:crossBetween val="midCat"/>
        <c:majorUnit val="1"/>
      </c:valAx>
      <c:valAx>
        <c:axId val="50967680"/>
        <c:scaling>
          <c:orientation val="minMax"/>
        </c:scaling>
        <c:delete val="0"/>
        <c:axPos val="l"/>
        <c:majorGridlines/>
        <c:minorGridlines/>
        <c:title>
          <c:tx>
            <c:rich>
              <a:bodyPr/>
              <a:lstStyle/>
              <a:p>
                <a:pPr>
                  <a:defRPr lang="en-US" sz="1400">
                    <a:latin typeface="Times New Roman" pitchFamily="18" charset="0"/>
                    <a:cs typeface="Times New Roman" pitchFamily="18" charset="0"/>
                  </a:defRPr>
                </a:pPr>
                <a:r>
                  <a:rPr lang="en-US" sz="1400">
                    <a:latin typeface="Times New Roman" pitchFamily="18" charset="0"/>
                    <a:cs typeface="Times New Roman" pitchFamily="18" charset="0"/>
                  </a:rPr>
                  <a:t>K</a:t>
                </a:r>
                <a:r>
                  <a:rPr lang="az-Cyrl-AZ" sz="1400">
                    <a:latin typeface="Times New Roman" pitchFamily="18" charset="0"/>
                    <a:cs typeface="Times New Roman" pitchFamily="18" charset="0"/>
                  </a:rPr>
                  <a:t>п</a:t>
                </a:r>
              </a:p>
            </c:rich>
          </c:tx>
          <c:overlay val="0"/>
        </c:title>
        <c:numFmt formatCode="General" sourceLinked="1"/>
        <c:majorTickMark val="none"/>
        <c:minorTickMark val="none"/>
        <c:tickLblPos val="nextTo"/>
        <c:txPr>
          <a:bodyPr/>
          <a:lstStyle/>
          <a:p>
            <a:pPr>
              <a:defRPr lang="en-US" b="1">
                <a:latin typeface="Times New Roman" pitchFamily="18" charset="0"/>
                <a:cs typeface="Times New Roman" pitchFamily="18" charset="0"/>
              </a:defRPr>
            </a:pPr>
            <a:endParaRPr lang="ar-SY"/>
          </a:p>
        </c:txPr>
        <c:crossAx val="50834432"/>
        <c:crosses val="autoZero"/>
        <c:crossBetween val="midCat"/>
        <c:majorUnit val="0.1"/>
      </c:valAx>
    </c:plotArea>
    <c:legend>
      <c:legendPos val="r"/>
      <c:overlay val="0"/>
      <c:txPr>
        <a:bodyPr/>
        <a:lstStyle/>
        <a:p>
          <a:pPr>
            <a:defRPr lang="en-US"/>
          </a:pPr>
          <a:endParaRPr lang="ar-SY"/>
        </a:p>
      </c:txPr>
    </c:legend>
    <c:plotVisOnly val="1"/>
    <c:dispBlanksAs val="gap"/>
    <c:showDLblsOverMax val="0"/>
  </c:chart>
  <c:printSettings>
    <c:headerFooter/>
    <c:pageMargins b="0.75000000000000488" l="0.70000000000000062" r="0.70000000000000062" t="0.75000000000000488"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xVal>
            <c:numRef>
              <c:f>[1]Sheet2!$I$27:$N$27</c:f>
              <c:numCache>
                <c:formatCode>General</c:formatCode>
                <c:ptCount val="6"/>
                <c:pt idx="0">
                  <c:v>0</c:v>
                </c:pt>
                <c:pt idx="1">
                  <c:v>10</c:v>
                </c:pt>
                <c:pt idx="2">
                  <c:v>20</c:v>
                </c:pt>
                <c:pt idx="3">
                  <c:v>30</c:v>
                </c:pt>
                <c:pt idx="4">
                  <c:v>40</c:v>
                </c:pt>
                <c:pt idx="5">
                  <c:v>50</c:v>
                </c:pt>
              </c:numCache>
            </c:numRef>
          </c:xVal>
          <c:yVal>
            <c:numRef>
              <c:f>[1]Sheet2!$I$28:$N$28</c:f>
              <c:numCache>
                <c:formatCode>General</c:formatCode>
                <c:ptCount val="6"/>
                <c:pt idx="0">
                  <c:v>200</c:v>
                </c:pt>
                <c:pt idx="1">
                  <c:v>250</c:v>
                </c:pt>
                <c:pt idx="2">
                  <c:v>270</c:v>
                </c:pt>
                <c:pt idx="3">
                  <c:v>290</c:v>
                </c:pt>
                <c:pt idx="4">
                  <c:v>300</c:v>
                </c:pt>
                <c:pt idx="5">
                  <c:v>305</c:v>
                </c:pt>
              </c:numCache>
            </c:numRef>
          </c:yVal>
          <c:smooth val="1"/>
          <c:extLst>
            <c:ext xmlns:c16="http://schemas.microsoft.com/office/drawing/2014/chart" uri="{C3380CC4-5D6E-409C-BE32-E72D297353CC}">
              <c16:uniqueId val="{00000000-2D40-418C-B70C-DC733084296A}"/>
            </c:ext>
          </c:extLst>
        </c:ser>
        <c:ser>
          <c:idx val="1"/>
          <c:order val="1"/>
          <c:xVal>
            <c:numRef>
              <c:f>[1]Sheet2!$I$27:$N$27</c:f>
              <c:numCache>
                <c:formatCode>General</c:formatCode>
                <c:ptCount val="6"/>
                <c:pt idx="0">
                  <c:v>0</c:v>
                </c:pt>
                <c:pt idx="1">
                  <c:v>10</c:v>
                </c:pt>
                <c:pt idx="2">
                  <c:v>20</c:v>
                </c:pt>
                <c:pt idx="3">
                  <c:v>30</c:v>
                </c:pt>
                <c:pt idx="4">
                  <c:v>40</c:v>
                </c:pt>
                <c:pt idx="5">
                  <c:v>50</c:v>
                </c:pt>
              </c:numCache>
            </c:numRef>
          </c:xVal>
          <c:yVal>
            <c:numRef>
              <c:f>[1]Sheet2!$I$29:$N$29</c:f>
              <c:numCache>
                <c:formatCode>General</c:formatCode>
                <c:ptCount val="6"/>
                <c:pt idx="0">
                  <c:v>300</c:v>
                </c:pt>
                <c:pt idx="1">
                  <c:v>350</c:v>
                </c:pt>
                <c:pt idx="2">
                  <c:v>370</c:v>
                </c:pt>
                <c:pt idx="3">
                  <c:v>400</c:v>
                </c:pt>
                <c:pt idx="4">
                  <c:v>420</c:v>
                </c:pt>
                <c:pt idx="5">
                  <c:v>430</c:v>
                </c:pt>
              </c:numCache>
            </c:numRef>
          </c:yVal>
          <c:smooth val="1"/>
          <c:extLst>
            <c:ext xmlns:c16="http://schemas.microsoft.com/office/drawing/2014/chart" uri="{C3380CC4-5D6E-409C-BE32-E72D297353CC}">
              <c16:uniqueId val="{00000001-2D40-418C-B70C-DC733084296A}"/>
            </c:ext>
          </c:extLst>
        </c:ser>
        <c:ser>
          <c:idx val="2"/>
          <c:order val="2"/>
          <c:xVal>
            <c:numRef>
              <c:f>[1]Sheet2!$I$27:$N$27</c:f>
              <c:numCache>
                <c:formatCode>General</c:formatCode>
                <c:ptCount val="6"/>
                <c:pt idx="0">
                  <c:v>0</c:v>
                </c:pt>
                <c:pt idx="1">
                  <c:v>10</c:v>
                </c:pt>
                <c:pt idx="2">
                  <c:v>20</c:v>
                </c:pt>
                <c:pt idx="3">
                  <c:v>30</c:v>
                </c:pt>
                <c:pt idx="4">
                  <c:v>40</c:v>
                </c:pt>
                <c:pt idx="5">
                  <c:v>50</c:v>
                </c:pt>
              </c:numCache>
            </c:numRef>
          </c:xVal>
          <c:yVal>
            <c:numRef>
              <c:f>[1]Sheet2!$I$30:$N$30</c:f>
              <c:numCache>
                <c:formatCode>General</c:formatCode>
                <c:ptCount val="6"/>
                <c:pt idx="0">
                  <c:v>400</c:v>
                </c:pt>
                <c:pt idx="1">
                  <c:v>450</c:v>
                </c:pt>
                <c:pt idx="2">
                  <c:v>480</c:v>
                </c:pt>
                <c:pt idx="3">
                  <c:v>510</c:v>
                </c:pt>
                <c:pt idx="4">
                  <c:v>530</c:v>
                </c:pt>
                <c:pt idx="5">
                  <c:v>540</c:v>
                </c:pt>
              </c:numCache>
            </c:numRef>
          </c:yVal>
          <c:smooth val="1"/>
          <c:extLst>
            <c:ext xmlns:c16="http://schemas.microsoft.com/office/drawing/2014/chart" uri="{C3380CC4-5D6E-409C-BE32-E72D297353CC}">
              <c16:uniqueId val="{00000002-2D40-418C-B70C-DC733084296A}"/>
            </c:ext>
          </c:extLst>
        </c:ser>
        <c:ser>
          <c:idx val="3"/>
          <c:order val="3"/>
          <c:xVal>
            <c:numRef>
              <c:f>[1]Sheet2!$I$27:$N$27</c:f>
              <c:numCache>
                <c:formatCode>General</c:formatCode>
                <c:ptCount val="6"/>
                <c:pt idx="0">
                  <c:v>0</c:v>
                </c:pt>
                <c:pt idx="1">
                  <c:v>10</c:v>
                </c:pt>
                <c:pt idx="2">
                  <c:v>20</c:v>
                </c:pt>
                <c:pt idx="3">
                  <c:v>30</c:v>
                </c:pt>
                <c:pt idx="4">
                  <c:v>40</c:v>
                </c:pt>
                <c:pt idx="5">
                  <c:v>50</c:v>
                </c:pt>
              </c:numCache>
            </c:numRef>
          </c:xVal>
          <c:yVal>
            <c:numRef>
              <c:f>[1]Sheet2!$I$31:$N$31</c:f>
              <c:numCache>
                <c:formatCode>General</c:formatCode>
                <c:ptCount val="6"/>
                <c:pt idx="0">
                  <c:v>500</c:v>
                </c:pt>
                <c:pt idx="1">
                  <c:v>575</c:v>
                </c:pt>
                <c:pt idx="2">
                  <c:v>640</c:v>
                </c:pt>
                <c:pt idx="3">
                  <c:v>680</c:v>
                </c:pt>
                <c:pt idx="4">
                  <c:v>720</c:v>
                </c:pt>
                <c:pt idx="5">
                  <c:v>750</c:v>
                </c:pt>
              </c:numCache>
            </c:numRef>
          </c:yVal>
          <c:smooth val="1"/>
          <c:extLst>
            <c:ext xmlns:c16="http://schemas.microsoft.com/office/drawing/2014/chart" uri="{C3380CC4-5D6E-409C-BE32-E72D297353CC}">
              <c16:uniqueId val="{00000003-2D40-418C-B70C-DC733084296A}"/>
            </c:ext>
          </c:extLst>
        </c:ser>
        <c:ser>
          <c:idx val="4"/>
          <c:order val="4"/>
          <c:xVal>
            <c:numRef>
              <c:f>[1]Sheet2!$I$27:$N$27</c:f>
              <c:numCache>
                <c:formatCode>General</c:formatCode>
                <c:ptCount val="6"/>
                <c:pt idx="0">
                  <c:v>0</c:v>
                </c:pt>
                <c:pt idx="1">
                  <c:v>10</c:v>
                </c:pt>
                <c:pt idx="2">
                  <c:v>20</c:v>
                </c:pt>
                <c:pt idx="3">
                  <c:v>30</c:v>
                </c:pt>
                <c:pt idx="4">
                  <c:v>40</c:v>
                </c:pt>
                <c:pt idx="5">
                  <c:v>50</c:v>
                </c:pt>
              </c:numCache>
            </c:numRef>
          </c:xVal>
          <c:yVal>
            <c:numRef>
              <c:f>[1]Sheet2!$I$32:$N$32</c:f>
              <c:numCache>
                <c:formatCode>General</c:formatCode>
                <c:ptCount val="6"/>
                <c:pt idx="0">
                  <c:v>600</c:v>
                </c:pt>
                <c:pt idx="1">
                  <c:v>700</c:v>
                </c:pt>
                <c:pt idx="2">
                  <c:v>750</c:v>
                </c:pt>
                <c:pt idx="3">
                  <c:v>800</c:v>
                </c:pt>
                <c:pt idx="4">
                  <c:v>840</c:v>
                </c:pt>
                <c:pt idx="5">
                  <c:v>855</c:v>
                </c:pt>
              </c:numCache>
            </c:numRef>
          </c:yVal>
          <c:smooth val="1"/>
          <c:extLst>
            <c:ext xmlns:c16="http://schemas.microsoft.com/office/drawing/2014/chart" uri="{C3380CC4-5D6E-409C-BE32-E72D297353CC}">
              <c16:uniqueId val="{00000004-2D40-418C-B70C-DC733084296A}"/>
            </c:ext>
          </c:extLst>
        </c:ser>
        <c:ser>
          <c:idx val="5"/>
          <c:order val="5"/>
          <c:xVal>
            <c:numRef>
              <c:f>[1]Sheet2!$I$27:$N$27</c:f>
              <c:numCache>
                <c:formatCode>General</c:formatCode>
                <c:ptCount val="6"/>
                <c:pt idx="0">
                  <c:v>0</c:v>
                </c:pt>
                <c:pt idx="1">
                  <c:v>10</c:v>
                </c:pt>
                <c:pt idx="2">
                  <c:v>20</c:v>
                </c:pt>
                <c:pt idx="3">
                  <c:v>30</c:v>
                </c:pt>
                <c:pt idx="4">
                  <c:v>40</c:v>
                </c:pt>
                <c:pt idx="5">
                  <c:v>50</c:v>
                </c:pt>
              </c:numCache>
            </c:numRef>
          </c:xVal>
          <c:yVal>
            <c:numRef>
              <c:f>[1]Sheet2!$I$33:$N$33</c:f>
              <c:numCache>
                <c:formatCode>General</c:formatCode>
                <c:ptCount val="6"/>
                <c:pt idx="0">
                  <c:v>700</c:v>
                </c:pt>
                <c:pt idx="1">
                  <c:v>780</c:v>
                </c:pt>
                <c:pt idx="2">
                  <c:v>840</c:v>
                </c:pt>
                <c:pt idx="3">
                  <c:v>875</c:v>
                </c:pt>
                <c:pt idx="4">
                  <c:v>905</c:v>
                </c:pt>
                <c:pt idx="5">
                  <c:v>935</c:v>
                </c:pt>
              </c:numCache>
            </c:numRef>
          </c:yVal>
          <c:smooth val="1"/>
          <c:extLst>
            <c:ext xmlns:c16="http://schemas.microsoft.com/office/drawing/2014/chart" uri="{C3380CC4-5D6E-409C-BE32-E72D297353CC}">
              <c16:uniqueId val="{00000005-2D40-418C-B70C-DC733084296A}"/>
            </c:ext>
          </c:extLst>
        </c:ser>
        <c:ser>
          <c:idx val="6"/>
          <c:order val="6"/>
          <c:xVal>
            <c:numRef>
              <c:f>[1]Sheet2!$I$27:$N$27</c:f>
              <c:numCache>
                <c:formatCode>General</c:formatCode>
                <c:ptCount val="6"/>
                <c:pt idx="0">
                  <c:v>0</c:v>
                </c:pt>
                <c:pt idx="1">
                  <c:v>10</c:v>
                </c:pt>
                <c:pt idx="2">
                  <c:v>20</c:v>
                </c:pt>
                <c:pt idx="3">
                  <c:v>30</c:v>
                </c:pt>
                <c:pt idx="4">
                  <c:v>40</c:v>
                </c:pt>
                <c:pt idx="5">
                  <c:v>50</c:v>
                </c:pt>
              </c:numCache>
            </c:numRef>
          </c:xVal>
          <c:yVal>
            <c:numRef>
              <c:f>[1]Sheet2!$I$34:$N$34</c:f>
              <c:numCache>
                <c:formatCode>General</c:formatCode>
                <c:ptCount val="6"/>
                <c:pt idx="0">
                  <c:v>800</c:v>
                </c:pt>
                <c:pt idx="1">
                  <c:v>880</c:v>
                </c:pt>
                <c:pt idx="2">
                  <c:v>940</c:v>
                </c:pt>
                <c:pt idx="3">
                  <c:v>975</c:v>
                </c:pt>
                <c:pt idx="4">
                  <c:v>1010</c:v>
                </c:pt>
                <c:pt idx="5">
                  <c:v>1045</c:v>
                </c:pt>
              </c:numCache>
            </c:numRef>
          </c:yVal>
          <c:smooth val="1"/>
          <c:extLst>
            <c:ext xmlns:c16="http://schemas.microsoft.com/office/drawing/2014/chart" uri="{C3380CC4-5D6E-409C-BE32-E72D297353CC}">
              <c16:uniqueId val="{00000006-2D40-418C-B70C-DC733084296A}"/>
            </c:ext>
          </c:extLst>
        </c:ser>
        <c:ser>
          <c:idx val="7"/>
          <c:order val="7"/>
          <c:xVal>
            <c:numRef>
              <c:f>[1]Sheet2!$I$27:$N$27</c:f>
              <c:numCache>
                <c:formatCode>General</c:formatCode>
                <c:ptCount val="6"/>
                <c:pt idx="0">
                  <c:v>0</c:v>
                </c:pt>
                <c:pt idx="1">
                  <c:v>10</c:v>
                </c:pt>
                <c:pt idx="2">
                  <c:v>20</c:v>
                </c:pt>
                <c:pt idx="3">
                  <c:v>30</c:v>
                </c:pt>
                <c:pt idx="4">
                  <c:v>40</c:v>
                </c:pt>
                <c:pt idx="5">
                  <c:v>50</c:v>
                </c:pt>
              </c:numCache>
            </c:numRef>
          </c:xVal>
          <c:yVal>
            <c:numRef>
              <c:f>[1]Sheet2!$I$35:$N$35</c:f>
              <c:numCache>
                <c:formatCode>General</c:formatCode>
                <c:ptCount val="6"/>
                <c:pt idx="0">
                  <c:v>900</c:v>
                </c:pt>
                <c:pt idx="1">
                  <c:v>980</c:v>
                </c:pt>
                <c:pt idx="2">
                  <c:v>1050</c:v>
                </c:pt>
                <c:pt idx="3">
                  <c:v>1100</c:v>
                </c:pt>
                <c:pt idx="4">
                  <c:v>1140</c:v>
                </c:pt>
                <c:pt idx="5">
                  <c:v>1160</c:v>
                </c:pt>
              </c:numCache>
            </c:numRef>
          </c:yVal>
          <c:smooth val="1"/>
          <c:extLst>
            <c:ext xmlns:c16="http://schemas.microsoft.com/office/drawing/2014/chart" uri="{C3380CC4-5D6E-409C-BE32-E72D297353CC}">
              <c16:uniqueId val="{00000007-2D40-418C-B70C-DC733084296A}"/>
            </c:ext>
          </c:extLst>
        </c:ser>
        <c:ser>
          <c:idx val="8"/>
          <c:order val="8"/>
          <c:xVal>
            <c:numRef>
              <c:f>[1]Sheet2!$I$27:$N$27</c:f>
              <c:numCache>
                <c:formatCode>General</c:formatCode>
                <c:ptCount val="6"/>
                <c:pt idx="0">
                  <c:v>0</c:v>
                </c:pt>
                <c:pt idx="1">
                  <c:v>10</c:v>
                </c:pt>
                <c:pt idx="2">
                  <c:v>20</c:v>
                </c:pt>
                <c:pt idx="3">
                  <c:v>30</c:v>
                </c:pt>
                <c:pt idx="4">
                  <c:v>40</c:v>
                </c:pt>
                <c:pt idx="5">
                  <c:v>50</c:v>
                </c:pt>
              </c:numCache>
            </c:numRef>
          </c:xVal>
          <c:yVal>
            <c:numRef>
              <c:f>[1]Sheet2!$I$36:$N$36</c:f>
              <c:numCache>
                <c:formatCode>General</c:formatCode>
                <c:ptCount val="6"/>
                <c:pt idx="0">
                  <c:v>1000</c:v>
                </c:pt>
                <c:pt idx="1">
                  <c:v>1080</c:v>
                </c:pt>
                <c:pt idx="2">
                  <c:v>1140</c:v>
                </c:pt>
                <c:pt idx="3">
                  <c:v>1200</c:v>
                </c:pt>
                <c:pt idx="4">
                  <c:v>1240</c:v>
                </c:pt>
                <c:pt idx="5">
                  <c:v>1260</c:v>
                </c:pt>
              </c:numCache>
            </c:numRef>
          </c:yVal>
          <c:smooth val="1"/>
          <c:extLst>
            <c:ext xmlns:c16="http://schemas.microsoft.com/office/drawing/2014/chart" uri="{C3380CC4-5D6E-409C-BE32-E72D297353CC}">
              <c16:uniqueId val="{00000008-2D40-418C-B70C-DC733084296A}"/>
            </c:ext>
          </c:extLst>
        </c:ser>
        <c:ser>
          <c:idx val="9"/>
          <c:order val="9"/>
          <c:xVal>
            <c:numRef>
              <c:f>[1]Sheet2!$I$27:$N$27</c:f>
              <c:numCache>
                <c:formatCode>General</c:formatCode>
                <c:ptCount val="6"/>
                <c:pt idx="0">
                  <c:v>0</c:v>
                </c:pt>
                <c:pt idx="1">
                  <c:v>10</c:v>
                </c:pt>
                <c:pt idx="2">
                  <c:v>20</c:v>
                </c:pt>
                <c:pt idx="3">
                  <c:v>30</c:v>
                </c:pt>
                <c:pt idx="4">
                  <c:v>40</c:v>
                </c:pt>
                <c:pt idx="5">
                  <c:v>50</c:v>
                </c:pt>
              </c:numCache>
            </c:numRef>
          </c:xVal>
          <c:yVal>
            <c:numRef>
              <c:f>[1]Sheet2!$I$37:$N$37</c:f>
              <c:numCache>
                <c:formatCode>General</c:formatCode>
                <c:ptCount val="6"/>
                <c:pt idx="0">
                  <c:v>100</c:v>
                </c:pt>
                <c:pt idx="1">
                  <c:v>140</c:v>
                </c:pt>
                <c:pt idx="2">
                  <c:v>170</c:v>
                </c:pt>
                <c:pt idx="3">
                  <c:v>185</c:v>
                </c:pt>
                <c:pt idx="4">
                  <c:v>200</c:v>
                </c:pt>
                <c:pt idx="5">
                  <c:v>210</c:v>
                </c:pt>
              </c:numCache>
            </c:numRef>
          </c:yVal>
          <c:smooth val="1"/>
          <c:extLst>
            <c:ext xmlns:c16="http://schemas.microsoft.com/office/drawing/2014/chart" uri="{C3380CC4-5D6E-409C-BE32-E72D297353CC}">
              <c16:uniqueId val="{00000009-2D40-418C-B70C-DC733084296A}"/>
            </c:ext>
          </c:extLst>
        </c:ser>
        <c:dLbls>
          <c:showLegendKey val="0"/>
          <c:showVal val="0"/>
          <c:showCatName val="0"/>
          <c:showSerName val="0"/>
          <c:showPercent val="0"/>
          <c:showBubbleSize val="0"/>
        </c:dLbls>
        <c:axId val="51097984"/>
        <c:axId val="51099904"/>
      </c:scatterChart>
      <c:valAx>
        <c:axId val="51097984"/>
        <c:scaling>
          <c:orientation val="minMax"/>
        </c:scaling>
        <c:delete val="0"/>
        <c:axPos val="b"/>
        <c:majorGridlines/>
        <c:minorGridlines/>
        <c:title>
          <c:tx>
            <c:rich>
              <a:bodyPr/>
              <a:lstStyle/>
              <a:p>
                <a:pPr>
                  <a:defRPr lang="en-US" sz="1200">
                    <a:latin typeface="Times New Roman" pitchFamily="18" charset="0"/>
                    <a:cs typeface="Times New Roman" pitchFamily="18" charset="0"/>
                  </a:defRPr>
                </a:pPr>
                <a:r>
                  <a:rPr lang="en-US" sz="1200">
                    <a:latin typeface="Times New Roman" pitchFamily="18" charset="0"/>
                    <a:cs typeface="Times New Roman" pitchFamily="18" charset="0"/>
                  </a:rPr>
                  <a:t>Z, m</a:t>
                </a:r>
              </a:p>
            </c:rich>
          </c:tx>
          <c:overlay val="0"/>
        </c:title>
        <c:numFmt formatCode="General" sourceLinked="1"/>
        <c:majorTickMark val="none"/>
        <c:minorTickMark val="none"/>
        <c:tickLblPos val="nextTo"/>
        <c:txPr>
          <a:bodyPr/>
          <a:lstStyle/>
          <a:p>
            <a:pPr>
              <a:defRPr lang="en-US" b="1">
                <a:latin typeface="Times New Roman" pitchFamily="18" charset="0"/>
                <a:cs typeface="Times New Roman" pitchFamily="18" charset="0"/>
              </a:defRPr>
            </a:pPr>
            <a:endParaRPr lang="ar-SY"/>
          </a:p>
        </c:txPr>
        <c:crossAx val="51099904"/>
        <c:crosses val="autoZero"/>
        <c:crossBetween val="midCat"/>
      </c:valAx>
      <c:valAx>
        <c:axId val="51099904"/>
        <c:scaling>
          <c:orientation val="minMax"/>
        </c:scaling>
        <c:delete val="0"/>
        <c:axPos val="l"/>
        <c:majorGridlines/>
        <c:minorGridlines/>
        <c:title>
          <c:tx>
            <c:rich>
              <a:bodyPr/>
              <a:lstStyle/>
              <a:p>
                <a:pPr>
                  <a:defRPr lang="en-US">
                    <a:latin typeface="Times New Roman" pitchFamily="18" charset="0"/>
                    <a:cs typeface="Times New Roman" pitchFamily="18" charset="0"/>
                  </a:defRPr>
                </a:pPr>
                <a:r>
                  <a:rPr lang="en-US">
                    <a:latin typeface="Times New Roman" pitchFamily="18" charset="0"/>
                    <a:cs typeface="Times New Roman" pitchFamily="18" charset="0"/>
                  </a:rPr>
                  <a:t>a1(a1z)m/s</a:t>
                </a:r>
              </a:p>
            </c:rich>
          </c:tx>
          <c:overlay val="0"/>
        </c:title>
        <c:numFmt formatCode="General" sourceLinked="1"/>
        <c:majorTickMark val="none"/>
        <c:minorTickMark val="none"/>
        <c:tickLblPos val="nextTo"/>
        <c:txPr>
          <a:bodyPr/>
          <a:lstStyle/>
          <a:p>
            <a:pPr>
              <a:defRPr lang="en-US" b="1">
                <a:latin typeface="Times New Roman" pitchFamily="18" charset="0"/>
                <a:cs typeface="Times New Roman" pitchFamily="18" charset="0"/>
              </a:defRPr>
            </a:pPr>
            <a:endParaRPr lang="ar-SY"/>
          </a:p>
        </c:txPr>
        <c:crossAx val="51097984"/>
        <c:crosses val="autoZero"/>
        <c:crossBetween val="midCat"/>
        <c:majorUnit val="100"/>
      </c:valAx>
    </c:plotArea>
    <c:plotVisOnly val="1"/>
    <c:dispBlanksAs val="gap"/>
    <c:showDLblsOverMax val="0"/>
  </c:chart>
  <c:printSettings>
    <c:headerFooter/>
    <c:pageMargins b="0.75000000000000344" l="0.70000000000000062" r="0.70000000000000062" t="0.7500000000000034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xVal>
            <c:numRef>
              <c:f>[1]Sheet2!$A$27:$F$27</c:f>
              <c:numCache>
                <c:formatCode>General</c:formatCode>
                <c:ptCount val="6"/>
                <c:pt idx="0">
                  <c:v>0</c:v>
                </c:pt>
                <c:pt idx="1">
                  <c:v>10</c:v>
                </c:pt>
                <c:pt idx="2">
                  <c:v>20</c:v>
                </c:pt>
                <c:pt idx="3">
                  <c:v>30</c:v>
                </c:pt>
                <c:pt idx="4">
                  <c:v>40</c:v>
                </c:pt>
                <c:pt idx="5">
                  <c:v>50</c:v>
                </c:pt>
              </c:numCache>
            </c:numRef>
          </c:xVal>
          <c:yVal>
            <c:numRef>
              <c:f>[1]Sheet2!$A$28:$F$28</c:f>
              <c:numCache>
                <c:formatCode>General</c:formatCode>
                <c:ptCount val="6"/>
                <c:pt idx="0">
                  <c:v>400</c:v>
                </c:pt>
                <c:pt idx="1">
                  <c:v>480</c:v>
                </c:pt>
                <c:pt idx="2">
                  <c:v>510</c:v>
                </c:pt>
                <c:pt idx="3">
                  <c:v>540</c:v>
                </c:pt>
                <c:pt idx="4">
                  <c:v>560</c:v>
                </c:pt>
                <c:pt idx="5">
                  <c:v>565</c:v>
                </c:pt>
              </c:numCache>
            </c:numRef>
          </c:yVal>
          <c:smooth val="1"/>
          <c:extLst>
            <c:ext xmlns:c16="http://schemas.microsoft.com/office/drawing/2014/chart" uri="{C3380CC4-5D6E-409C-BE32-E72D297353CC}">
              <c16:uniqueId val="{00000000-1E16-47FA-B674-CE2BD6F96180}"/>
            </c:ext>
          </c:extLst>
        </c:ser>
        <c:ser>
          <c:idx val="1"/>
          <c:order val="1"/>
          <c:xVal>
            <c:numRef>
              <c:f>[1]Sheet2!$A$27:$F$27</c:f>
              <c:numCache>
                <c:formatCode>General</c:formatCode>
                <c:ptCount val="6"/>
                <c:pt idx="0">
                  <c:v>0</c:v>
                </c:pt>
                <c:pt idx="1">
                  <c:v>10</c:v>
                </c:pt>
                <c:pt idx="2">
                  <c:v>20</c:v>
                </c:pt>
                <c:pt idx="3">
                  <c:v>30</c:v>
                </c:pt>
                <c:pt idx="4">
                  <c:v>40</c:v>
                </c:pt>
                <c:pt idx="5">
                  <c:v>50</c:v>
                </c:pt>
              </c:numCache>
            </c:numRef>
          </c:xVal>
          <c:yVal>
            <c:numRef>
              <c:f>[1]Sheet2!$A$29:$F$29</c:f>
              <c:numCache>
                <c:formatCode>General</c:formatCode>
                <c:ptCount val="6"/>
                <c:pt idx="0">
                  <c:v>600</c:v>
                </c:pt>
                <c:pt idx="1">
                  <c:v>680</c:v>
                </c:pt>
                <c:pt idx="2">
                  <c:v>710</c:v>
                </c:pt>
                <c:pt idx="3">
                  <c:v>740</c:v>
                </c:pt>
                <c:pt idx="4">
                  <c:v>760</c:v>
                </c:pt>
                <c:pt idx="5">
                  <c:v>765</c:v>
                </c:pt>
              </c:numCache>
            </c:numRef>
          </c:yVal>
          <c:smooth val="1"/>
          <c:extLst>
            <c:ext xmlns:c16="http://schemas.microsoft.com/office/drawing/2014/chart" uri="{C3380CC4-5D6E-409C-BE32-E72D297353CC}">
              <c16:uniqueId val="{00000001-1E16-47FA-B674-CE2BD6F96180}"/>
            </c:ext>
          </c:extLst>
        </c:ser>
        <c:ser>
          <c:idx val="2"/>
          <c:order val="2"/>
          <c:xVal>
            <c:numRef>
              <c:f>[1]Sheet2!$A$27:$F$27</c:f>
              <c:numCache>
                <c:formatCode>General</c:formatCode>
                <c:ptCount val="6"/>
                <c:pt idx="0">
                  <c:v>0</c:v>
                </c:pt>
                <c:pt idx="1">
                  <c:v>10</c:v>
                </c:pt>
                <c:pt idx="2">
                  <c:v>20</c:v>
                </c:pt>
                <c:pt idx="3">
                  <c:v>30</c:v>
                </c:pt>
                <c:pt idx="4">
                  <c:v>40</c:v>
                </c:pt>
                <c:pt idx="5">
                  <c:v>50</c:v>
                </c:pt>
              </c:numCache>
            </c:numRef>
          </c:xVal>
          <c:yVal>
            <c:numRef>
              <c:f>[1]Sheet2!$A$30:$F$30</c:f>
              <c:numCache>
                <c:formatCode>General</c:formatCode>
                <c:ptCount val="6"/>
                <c:pt idx="0">
                  <c:v>800</c:v>
                </c:pt>
                <c:pt idx="1">
                  <c:v>880</c:v>
                </c:pt>
                <c:pt idx="2">
                  <c:v>915</c:v>
                </c:pt>
                <c:pt idx="3">
                  <c:v>950</c:v>
                </c:pt>
                <c:pt idx="4">
                  <c:v>960</c:v>
                </c:pt>
                <c:pt idx="5">
                  <c:v>955</c:v>
                </c:pt>
              </c:numCache>
            </c:numRef>
          </c:yVal>
          <c:smooth val="1"/>
          <c:extLst>
            <c:ext xmlns:c16="http://schemas.microsoft.com/office/drawing/2014/chart" uri="{C3380CC4-5D6E-409C-BE32-E72D297353CC}">
              <c16:uniqueId val="{00000002-1E16-47FA-B674-CE2BD6F96180}"/>
            </c:ext>
          </c:extLst>
        </c:ser>
        <c:ser>
          <c:idx val="3"/>
          <c:order val="3"/>
          <c:xVal>
            <c:numRef>
              <c:f>[1]Sheet2!$A$27:$F$27</c:f>
              <c:numCache>
                <c:formatCode>General</c:formatCode>
                <c:ptCount val="6"/>
                <c:pt idx="0">
                  <c:v>0</c:v>
                </c:pt>
                <c:pt idx="1">
                  <c:v>10</c:v>
                </c:pt>
                <c:pt idx="2">
                  <c:v>20</c:v>
                </c:pt>
                <c:pt idx="3">
                  <c:v>30</c:v>
                </c:pt>
                <c:pt idx="4">
                  <c:v>40</c:v>
                </c:pt>
                <c:pt idx="5">
                  <c:v>50</c:v>
                </c:pt>
              </c:numCache>
            </c:numRef>
          </c:xVal>
          <c:yVal>
            <c:numRef>
              <c:f>[1]Sheet2!$A$31:$F$31</c:f>
              <c:numCache>
                <c:formatCode>General</c:formatCode>
                <c:ptCount val="6"/>
                <c:pt idx="0">
                  <c:v>1000</c:v>
                </c:pt>
                <c:pt idx="1">
                  <c:v>1100</c:v>
                </c:pt>
                <c:pt idx="2">
                  <c:v>1200</c:v>
                </c:pt>
                <c:pt idx="3">
                  <c:v>1245</c:v>
                </c:pt>
                <c:pt idx="4">
                  <c:v>1285</c:v>
                </c:pt>
                <c:pt idx="5">
                  <c:v>1300</c:v>
                </c:pt>
              </c:numCache>
            </c:numRef>
          </c:yVal>
          <c:smooth val="1"/>
          <c:extLst>
            <c:ext xmlns:c16="http://schemas.microsoft.com/office/drawing/2014/chart" uri="{C3380CC4-5D6E-409C-BE32-E72D297353CC}">
              <c16:uniqueId val="{00000003-1E16-47FA-B674-CE2BD6F96180}"/>
            </c:ext>
          </c:extLst>
        </c:ser>
        <c:ser>
          <c:idx val="4"/>
          <c:order val="4"/>
          <c:xVal>
            <c:numRef>
              <c:f>[1]Sheet2!$A$27:$F$27</c:f>
              <c:numCache>
                <c:formatCode>General</c:formatCode>
                <c:ptCount val="6"/>
                <c:pt idx="0">
                  <c:v>0</c:v>
                </c:pt>
                <c:pt idx="1">
                  <c:v>10</c:v>
                </c:pt>
                <c:pt idx="2">
                  <c:v>20</c:v>
                </c:pt>
                <c:pt idx="3">
                  <c:v>30</c:v>
                </c:pt>
                <c:pt idx="4">
                  <c:v>40</c:v>
                </c:pt>
                <c:pt idx="5">
                  <c:v>50</c:v>
                </c:pt>
              </c:numCache>
            </c:numRef>
          </c:xVal>
          <c:yVal>
            <c:numRef>
              <c:f>[1]Sheet2!$A$32:$F$32</c:f>
              <c:numCache>
                <c:formatCode>General</c:formatCode>
                <c:ptCount val="6"/>
                <c:pt idx="0">
                  <c:v>1200</c:v>
                </c:pt>
                <c:pt idx="1">
                  <c:v>1300</c:v>
                </c:pt>
                <c:pt idx="2">
                  <c:v>1400</c:v>
                </c:pt>
                <c:pt idx="3">
                  <c:v>1470</c:v>
                </c:pt>
                <c:pt idx="4">
                  <c:v>1500</c:v>
                </c:pt>
                <c:pt idx="5">
                  <c:v>1515</c:v>
                </c:pt>
              </c:numCache>
            </c:numRef>
          </c:yVal>
          <c:smooth val="1"/>
          <c:extLst>
            <c:ext xmlns:c16="http://schemas.microsoft.com/office/drawing/2014/chart" uri="{C3380CC4-5D6E-409C-BE32-E72D297353CC}">
              <c16:uniqueId val="{00000004-1E16-47FA-B674-CE2BD6F96180}"/>
            </c:ext>
          </c:extLst>
        </c:ser>
        <c:ser>
          <c:idx val="5"/>
          <c:order val="5"/>
          <c:xVal>
            <c:numRef>
              <c:f>[1]Sheet2!$A$27:$F$27</c:f>
              <c:numCache>
                <c:formatCode>General</c:formatCode>
                <c:ptCount val="6"/>
                <c:pt idx="0">
                  <c:v>0</c:v>
                </c:pt>
                <c:pt idx="1">
                  <c:v>10</c:v>
                </c:pt>
                <c:pt idx="2">
                  <c:v>20</c:v>
                </c:pt>
                <c:pt idx="3">
                  <c:v>30</c:v>
                </c:pt>
                <c:pt idx="4">
                  <c:v>40</c:v>
                </c:pt>
                <c:pt idx="5">
                  <c:v>50</c:v>
                </c:pt>
              </c:numCache>
            </c:numRef>
          </c:xVal>
          <c:yVal>
            <c:numRef>
              <c:f>[1]Sheet2!$A$33:$F$33</c:f>
              <c:numCache>
                <c:formatCode>General</c:formatCode>
                <c:ptCount val="6"/>
                <c:pt idx="0">
                  <c:v>1400</c:v>
                </c:pt>
                <c:pt idx="1">
                  <c:v>1500</c:v>
                </c:pt>
                <c:pt idx="2">
                  <c:v>1600</c:v>
                </c:pt>
                <c:pt idx="3">
                  <c:v>1680</c:v>
                </c:pt>
                <c:pt idx="4">
                  <c:v>1700</c:v>
                </c:pt>
                <c:pt idx="5">
                  <c:v>1695</c:v>
                </c:pt>
              </c:numCache>
            </c:numRef>
          </c:yVal>
          <c:smooth val="1"/>
          <c:extLst>
            <c:ext xmlns:c16="http://schemas.microsoft.com/office/drawing/2014/chart" uri="{C3380CC4-5D6E-409C-BE32-E72D297353CC}">
              <c16:uniqueId val="{00000005-1E16-47FA-B674-CE2BD6F96180}"/>
            </c:ext>
          </c:extLst>
        </c:ser>
        <c:ser>
          <c:idx val="6"/>
          <c:order val="6"/>
          <c:xVal>
            <c:numRef>
              <c:f>[1]Sheet2!$A$27:$F$27</c:f>
              <c:numCache>
                <c:formatCode>General</c:formatCode>
                <c:ptCount val="6"/>
                <c:pt idx="0">
                  <c:v>0</c:v>
                </c:pt>
                <c:pt idx="1">
                  <c:v>10</c:v>
                </c:pt>
                <c:pt idx="2">
                  <c:v>20</c:v>
                </c:pt>
                <c:pt idx="3">
                  <c:v>30</c:v>
                </c:pt>
                <c:pt idx="4">
                  <c:v>40</c:v>
                </c:pt>
                <c:pt idx="5">
                  <c:v>50</c:v>
                </c:pt>
              </c:numCache>
            </c:numRef>
          </c:xVal>
          <c:yVal>
            <c:numRef>
              <c:f>[1]Sheet2!$A$34:$F$34</c:f>
              <c:numCache>
                <c:formatCode>General</c:formatCode>
                <c:ptCount val="6"/>
                <c:pt idx="0">
                  <c:v>1600</c:v>
                </c:pt>
                <c:pt idx="1">
                  <c:v>1700</c:v>
                </c:pt>
                <c:pt idx="2">
                  <c:v>1790</c:v>
                </c:pt>
                <c:pt idx="3">
                  <c:v>1850</c:v>
                </c:pt>
                <c:pt idx="4">
                  <c:v>1900</c:v>
                </c:pt>
                <c:pt idx="5">
                  <c:v>1900</c:v>
                </c:pt>
              </c:numCache>
            </c:numRef>
          </c:yVal>
          <c:smooth val="1"/>
          <c:extLst>
            <c:ext xmlns:c16="http://schemas.microsoft.com/office/drawing/2014/chart" uri="{C3380CC4-5D6E-409C-BE32-E72D297353CC}">
              <c16:uniqueId val="{00000006-1E16-47FA-B674-CE2BD6F96180}"/>
            </c:ext>
          </c:extLst>
        </c:ser>
        <c:ser>
          <c:idx val="7"/>
          <c:order val="7"/>
          <c:xVal>
            <c:numRef>
              <c:f>[1]Sheet2!$A$27:$F$27</c:f>
              <c:numCache>
                <c:formatCode>General</c:formatCode>
                <c:ptCount val="6"/>
                <c:pt idx="0">
                  <c:v>0</c:v>
                </c:pt>
                <c:pt idx="1">
                  <c:v>10</c:v>
                </c:pt>
                <c:pt idx="2">
                  <c:v>20</c:v>
                </c:pt>
                <c:pt idx="3">
                  <c:v>30</c:v>
                </c:pt>
                <c:pt idx="4">
                  <c:v>40</c:v>
                </c:pt>
                <c:pt idx="5">
                  <c:v>50</c:v>
                </c:pt>
              </c:numCache>
            </c:numRef>
          </c:xVal>
          <c:yVal>
            <c:numRef>
              <c:f>[1]Sheet2!$A$35:$F$35</c:f>
              <c:numCache>
                <c:formatCode>General</c:formatCode>
                <c:ptCount val="6"/>
                <c:pt idx="0">
                  <c:v>1800</c:v>
                </c:pt>
                <c:pt idx="1">
                  <c:v>1910</c:v>
                </c:pt>
                <c:pt idx="2">
                  <c:v>2000</c:v>
                </c:pt>
                <c:pt idx="3">
                  <c:v>2070</c:v>
                </c:pt>
                <c:pt idx="4">
                  <c:v>2105</c:v>
                </c:pt>
                <c:pt idx="5">
                  <c:v>2120</c:v>
                </c:pt>
              </c:numCache>
            </c:numRef>
          </c:yVal>
          <c:smooth val="1"/>
          <c:extLst>
            <c:ext xmlns:c16="http://schemas.microsoft.com/office/drawing/2014/chart" uri="{C3380CC4-5D6E-409C-BE32-E72D297353CC}">
              <c16:uniqueId val="{00000007-1E16-47FA-B674-CE2BD6F96180}"/>
            </c:ext>
          </c:extLst>
        </c:ser>
        <c:ser>
          <c:idx val="8"/>
          <c:order val="8"/>
          <c:xVal>
            <c:numRef>
              <c:f>[1]Sheet2!$A$27:$F$27</c:f>
              <c:numCache>
                <c:formatCode>General</c:formatCode>
                <c:ptCount val="6"/>
                <c:pt idx="0">
                  <c:v>0</c:v>
                </c:pt>
                <c:pt idx="1">
                  <c:v>10</c:v>
                </c:pt>
                <c:pt idx="2">
                  <c:v>20</c:v>
                </c:pt>
                <c:pt idx="3">
                  <c:v>30</c:v>
                </c:pt>
                <c:pt idx="4">
                  <c:v>40</c:v>
                </c:pt>
                <c:pt idx="5">
                  <c:v>50</c:v>
                </c:pt>
              </c:numCache>
            </c:numRef>
          </c:xVal>
          <c:yVal>
            <c:numRef>
              <c:f>[1]Sheet2!$A$36:$F$36</c:f>
              <c:numCache>
                <c:formatCode>General</c:formatCode>
                <c:ptCount val="6"/>
                <c:pt idx="0">
                  <c:v>2000</c:v>
                </c:pt>
                <c:pt idx="1">
                  <c:v>2100</c:v>
                </c:pt>
                <c:pt idx="2">
                  <c:v>2180</c:v>
                </c:pt>
                <c:pt idx="3">
                  <c:v>2240</c:v>
                </c:pt>
                <c:pt idx="4">
                  <c:v>2285</c:v>
                </c:pt>
                <c:pt idx="5">
                  <c:v>2300</c:v>
                </c:pt>
              </c:numCache>
            </c:numRef>
          </c:yVal>
          <c:smooth val="1"/>
          <c:extLst>
            <c:ext xmlns:c16="http://schemas.microsoft.com/office/drawing/2014/chart" uri="{C3380CC4-5D6E-409C-BE32-E72D297353CC}">
              <c16:uniqueId val="{00000008-1E16-47FA-B674-CE2BD6F96180}"/>
            </c:ext>
          </c:extLst>
        </c:ser>
        <c:dLbls>
          <c:showLegendKey val="0"/>
          <c:showVal val="0"/>
          <c:showCatName val="0"/>
          <c:showSerName val="0"/>
          <c:showPercent val="0"/>
          <c:showBubbleSize val="0"/>
        </c:dLbls>
        <c:axId val="51163136"/>
        <c:axId val="51165056"/>
      </c:scatterChart>
      <c:valAx>
        <c:axId val="51163136"/>
        <c:scaling>
          <c:orientation val="minMax"/>
        </c:scaling>
        <c:delete val="0"/>
        <c:axPos val="b"/>
        <c:majorGridlines/>
        <c:minorGridlines/>
        <c:title>
          <c:tx>
            <c:rich>
              <a:bodyPr/>
              <a:lstStyle/>
              <a:p>
                <a:pPr>
                  <a:defRPr lang="en-US" sz="1200">
                    <a:latin typeface="Times New Roman" pitchFamily="18" charset="0"/>
                    <a:cs typeface="Times New Roman" pitchFamily="18" charset="0"/>
                  </a:defRPr>
                </a:pPr>
                <a:r>
                  <a:rPr lang="en-US" sz="1200">
                    <a:latin typeface="Times New Roman" pitchFamily="18" charset="0"/>
                    <a:cs typeface="Times New Roman" pitchFamily="18" charset="0"/>
                  </a:rPr>
                  <a:t>Z,m</a:t>
                </a:r>
              </a:p>
            </c:rich>
          </c:tx>
          <c:overlay val="0"/>
        </c:title>
        <c:numFmt formatCode="General" sourceLinked="1"/>
        <c:majorTickMark val="none"/>
        <c:minorTickMark val="none"/>
        <c:tickLblPos val="nextTo"/>
        <c:txPr>
          <a:bodyPr/>
          <a:lstStyle/>
          <a:p>
            <a:pPr>
              <a:defRPr lang="en-US" b="1">
                <a:latin typeface="Times New Roman" pitchFamily="18" charset="0"/>
                <a:cs typeface="Times New Roman" pitchFamily="18" charset="0"/>
              </a:defRPr>
            </a:pPr>
            <a:endParaRPr lang="ar-SY"/>
          </a:p>
        </c:txPr>
        <c:crossAx val="51165056"/>
        <c:crosses val="autoZero"/>
        <c:crossBetween val="midCat"/>
      </c:valAx>
      <c:valAx>
        <c:axId val="51165056"/>
        <c:scaling>
          <c:orientation val="minMax"/>
        </c:scaling>
        <c:delete val="0"/>
        <c:axPos val="l"/>
        <c:majorGridlines/>
        <c:minorGridlines/>
        <c:title>
          <c:tx>
            <c:rich>
              <a:bodyPr/>
              <a:lstStyle/>
              <a:p>
                <a:pPr>
                  <a:defRPr lang="en-US" sz="1200">
                    <a:latin typeface="Times New Roman" pitchFamily="18" charset="0"/>
                    <a:cs typeface="Times New Roman" pitchFamily="18" charset="0"/>
                  </a:defRPr>
                </a:pPr>
                <a:r>
                  <a:rPr lang="en-US" sz="1200">
                    <a:latin typeface="Times New Roman" pitchFamily="18" charset="0"/>
                    <a:cs typeface="Times New Roman" pitchFamily="18" charset="0"/>
                  </a:rPr>
                  <a:t>a</a:t>
                </a:r>
                <a:r>
                  <a:rPr lang="ar-EG" sz="900">
                    <a:latin typeface="Times New Roman" pitchFamily="18" charset="0"/>
                    <a:cs typeface="Times New Roman" pitchFamily="18" charset="0"/>
                  </a:rPr>
                  <a:t>0</a:t>
                </a:r>
                <a:r>
                  <a:rPr lang="en-US" sz="1200">
                    <a:latin typeface="Times New Roman" pitchFamily="18" charset="0"/>
                    <a:cs typeface="Times New Roman" pitchFamily="18" charset="0"/>
                  </a:rPr>
                  <a:t>(a</a:t>
                </a:r>
                <a:r>
                  <a:rPr lang="en-US" sz="900">
                    <a:latin typeface="Times New Roman" pitchFamily="18" charset="0"/>
                    <a:cs typeface="Times New Roman" pitchFamily="18" charset="0"/>
                  </a:rPr>
                  <a:t>0z</a:t>
                </a:r>
                <a:r>
                  <a:rPr lang="en-US" sz="1200">
                    <a:latin typeface="Times New Roman" pitchFamily="18" charset="0"/>
                    <a:cs typeface="Times New Roman" pitchFamily="18" charset="0"/>
                  </a:rPr>
                  <a:t>)m/s</a:t>
                </a:r>
              </a:p>
            </c:rich>
          </c:tx>
          <c:overlay val="0"/>
        </c:title>
        <c:numFmt formatCode="General" sourceLinked="1"/>
        <c:majorTickMark val="none"/>
        <c:minorTickMark val="none"/>
        <c:tickLblPos val="nextTo"/>
        <c:txPr>
          <a:bodyPr/>
          <a:lstStyle/>
          <a:p>
            <a:pPr>
              <a:defRPr lang="en-US" b="1">
                <a:latin typeface="Times New Roman" pitchFamily="18" charset="0"/>
                <a:cs typeface="Times New Roman" pitchFamily="18" charset="0"/>
              </a:defRPr>
            </a:pPr>
            <a:endParaRPr lang="ar-SY"/>
          </a:p>
        </c:txPr>
        <c:crossAx val="51163136"/>
        <c:crosses val="autoZero"/>
        <c:crossBetween val="midCat"/>
        <c:majorUnit val="100"/>
      </c:valAx>
    </c:plotArea>
    <c:plotVisOnly val="1"/>
    <c:dispBlanksAs val="gap"/>
    <c:showDLblsOverMax val="0"/>
  </c:chart>
  <c:printSettings>
    <c:headerFooter/>
    <c:pageMargins b="0.75000000000000488" l="0.70000000000000062" r="0.70000000000000062" t="0.75000000000000488"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11</xdr:col>
      <xdr:colOff>581025</xdr:colOff>
      <xdr:row>94</xdr:row>
      <xdr:rowOff>57150</xdr:rowOff>
    </xdr:from>
    <xdr:to>
      <xdr:col>13</xdr:col>
      <xdr:colOff>333375</xdr:colOff>
      <xdr:row>100</xdr:row>
      <xdr:rowOff>171449</xdr:rowOff>
    </xdr:to>
    <xdr:grpSp>
      <xdr:nvGrpSpPr>
        <xdr:cNvPr id="3" name="Group 1">
          <a:extLst>
            <a:ext uri="{FF2B5EF4-FFF2-40B4-BE49-F238E27FC236}">
              <a16:creationId xmlns:a16="http://schemas.microsoft.com/office/drawing/2014/main" id="{00000000-0008-0000-0000-000003000000}"/>
            </a:ext>
          </a:extLst>
        </xdr:cNvPr>
        <xdr:cNvGrpSpPr>
          <a:grpSpLocks/>
        </xdr:cNvGrpSpPr>
      </xdr:nvGrpSpPr>
      <xdr:grpSpPr bwMode="auto">
        <a:xfrm>
          <a:off x="9846945" y="20433030"/>
          <a:ext cx="1428750" cy="1318259"/>
          <a:chOff x="108404025" y="108546900"/>
          <a:chExt cx="1428750" cy="1543050"/>
        </a:xfrm>
      </xdr:grpSpPr>
      <xdr:sp macro="" textlink="">
        <xdr:nvSpPr>
          <xdr:cNvPr id="4" name="Text Box 2">
            <a:extLst>
              <a:ext uri="{FF2B5EF4-FFF2-40B4-BE49-F238E27FC236}">
                <a16:creationId xmlns:a16="http://schemas.microsoft.com/office/drawing/2014/main" id="{00000000-0008-0000-0000-000004000000}"/>
              </a:ext>
            </a:extLst>
          </xdr:cNvPr>
          <xdr:cNvSpPr txBox="1">
            <a:spLocks noChangeArrowheads="1"/>
          </xdr:cNvSpPr>
        </xdr:nvSpPr>
        <xdr:spPr bwMode="auto">
          <a:xfrm>
            <a:off x="108632625" y="109861350"/>
            <a:ext cx="571500"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l-GR" sz="1400" b="1" i="0" u="none" strike="noStrike" baseline="0">
                <a:solidFill>
                  <a:srgbClr val="000000"/>
                </a:solidFill>
                <a:latin typeface="Times New Roman Greek"/>
                <a:cs typeface="Times New Roman Greek"/>
              </a:rPr>
              <a:t>τ</a:t>
            </a:r>
            <a:endParaRPr lang="el-GR" sz="400" b="1" i="0" u="none" strike="noStrike" baseline="0">
              <a:solidFill>
                <a:srgbClr val="000000"/>
              </a:solidFill>
              <a:latin typeface="Times New Roman"/>
              <a:cs typeface="Times New Roman"/>
            </a:endParaRPr>
          </a:p>
          <a:p>
            <a:pPr algn="l" rtl="0">
              <a:defRPr sz="1000"/>
            </a:pPr>
            <a:endParaRPr lang="el-GR" sz="400" b="1" i="0" u="none" strike="noStrike" baseline="0">
              <a:solidFill>
                <a:srgbClr val="000000"/>
              </a:solidFill>
              <a:latin typeface="Times New Roman"/>
              <a:cs typeface="Times New Roman"/>
            </a:endParaRPr>
          </a:p>
        </xdr:txBody>
      </xdr:sp>
      <xdr:grpSp>
        <xdr:nvGrpSpPr>
          <xdr:cNvPr id="5" name="Group 3">
            <a:extLst>
              <a:ext uri="{FF2B5EF4-FFF2-40B4-BE49-F238E27FC236}">
                <a16:creationId xmlns:a16="http://schemas.microsoft.com/office/drawing/2014/main" id="{00000000-0008-0000-0000-000005000000}"/>
              </a:ext>
            </a:extLst>
          </xdr:cNvPr>
          <xdr:cNvGrpSpPr>
            <a:grpSpLocks/>
          </xdr:cNvGrpSpPr>
        </xdr:nvGrpSpPr>
        <xdr:grpSpPr bwMode="auto">
          <a:xfrm>
            <a:off x="108404025" y="108546900"/>
            <a:ext cx="1428750" cy="1257301"/>
            <a:chOff x="108404025" y="108546900"/>
            <a:chExt cx="1428750" cy="1257301"/>
          </a:xfrm>
        </xdr:grpSpPr>
        <xdr:grpSp>
          <xdr:nvGrpSpPr>
            <xdr:cNvPr id="6" name="Group 4">
              <a:extLst>
                <a:ext uri="{FF2B5EF4-FFF2-40B4-BE49-F238E27FC236}">
                  <a16:creationId xmlns:a16="http://schemas.microsoft.com/office/drawing/2014/main" id="{00000000-0008-0000-0000-000006000000}"/>
                </a:ext>
              </a:extLst>
            </xdr:cNvPr>
            <xdr:cNvGrpSpPr>
              <a:grpSpLocks/>
            </xdr:cNvGrpSpPr>
          </xdr:nvGrpSpPr>
          <xdr:grpSpPr bwMode="auto">
            <a:xfrm>
              <a:off x="108632625" y="108889800"/>
              <a:ext cx="1200150" cy="914401"/>
              <a:chOff x="108632625" y="108889800"/>
              <a:chExt cx="1200150" cy="914401"/>
            </a:xfrm>
          </xdr:grpSpPr>
          <xdr:sp macro="" textlink="">
            <xdr:nvSpPr>
              <xdr:cNvPr id="11" name="Line 5">
                <a:extLst>
                  <a:ext uri="{FF2B5EF4-FFF2-40B4-BE49-F238E27FC236}">
                    <a16:creationId xmlns:a16="http://schemas.microsoft.com/office/drawing/2014/main" id="{00000000-0008-0000-0000-00000B000000}"/>
                  </a:ext>
                </a:extLst>
              </xdr:cNvPr>
              <xdr:cNvSpPr>
                <a:spLocks noChangeShapeType="1"/>
              </xdr:cNvSpPr>
            </xdr:nvSpPr>
            <xdr:spPr bwMode="auto">
              <a:xfrm>
                <a:off x="108632625" y="108889800"/>
                <a:ext cx="1" cy="914400"/>
              </a:xfrm>
              <a:prstGeom prst="line">
                <a:avLst/>
              </a:prstGeom>
              <a:noFill/>
              <a:ln w="9525" algn="ctr">
                <a:solidFill>
                  <a:srgbClr val="000000"/>
                </a:solidFill>
                <a:round/>
                <a:headEnd/>
                <a:tailEnd/>
              </a:ln>
              <a:effectLst/>
            </xdr:spPr>
          </xdr:sp>
          <xdr:sp macro="" textlink="">
            <xdr:nvSpPr>
              <xdr:cNvPr id="12" name="Line 6">
                <a:extLst>
                  <a:ext uri="{FF2B5EF4-FFF2-40B4-BE49-F238E27FC236}">
                    <a16:creationId xmlns:a16="http://schemas.microsoft.com/office/drawing/2014/main" id="{00000000-0008-0000-0000-00000C000000}"/>
                  </a:ext>
                </a:extLst>
              </xdr:cNvPr>
              <xdr:cNvSpPr>
                <a:spLocks noChangeShapeType="1"/>
              </xdr:cNvSpPr>
            </xdr:nvSpPr>
            <xdr:spPr bwMode="auto">
              <a:xfrm>
                <a:off x="108632625" y="109804200"/>
                <a:ext cx="1200150" cy="1"/>
              </a:xfrm>
              <a:prstGeom prst="line">
                <a:avLst/>
              </a:prstGeom>
              <a:noFill/>
              <a:ln w="9525" algn="ctr">
                <a:solidFill>
                  <a:srgbClr val="000000"/>
                </a:solidFill>
                <a:round/>
                <a:headEnd/>
                <a:tailEnd/>
              </a:ln>
              <a:effectLst/>
            </xdr:spPr>
          </xdr:sp>
        </xdr:grpSp>
        <xdr:sp macro="" textlink="">
          <xdr:nvSpPr>
            <xdr:cNvPr id="7" name="Line 7">
              <a:extLst>
                <a:ext uri="{FF2B5EF4-FFF2-40B4-BE49-F238E27FC236}">
                  <a16:creationId xmlns:a16="http://schemas.microsoft.com/office/drawing/2014/main" id="{00000000-0008-0000-0000-000007000000}"/>
                </a:ext>
              </a:extLst>
            </xdr:cNvPr>
            <xdr:cNvSpPr>
              <a:spLocks noChangeShapeType="1"/>
            </xdr:cNvSpPr>
          </xdr:nvSpPr>
          <xdr:spPr bwMode="auto">
            <a:xfrm flipV="1">
              <a:off x="108632625" y="109118400"/>
              <a:ext cx="514350" cy="685800"/>
            </a:xfrm>
            <a:prstGeom prst="line">
              <a:avLst/>
            </a:prstGeom>
            <a:noFill/>
            <a:ln w="9525" algn="ctr">
              <a:solidFill>
                <a:srgbClr val="000000"/>
              </a:solidFill>
              <a:round/>
              <a:headEnd/>
              <a:tailEnd/>
            </a:ln>
            <a:effectLst/>
          </xdr:spPr>
        </xdr:sp>
        <xdr:sp macro="" textlink="">
          <xdr:nvSpPr>
            <xdr:cNvPr id="8" name="Line 8">
              <a:extLst>
                <a:ext uri="{FF2B5EF4-FFF2-40B4-BE49-F238E27FC236}">
                  <a16:creationId xmlns:a16="http://schemas.microsoft.com/office/drawing/2014/main" id="{00000000-0008-0000-0000-000008000000}"/>
                </a:ext>
              </a:extLst>
            </xdr:cNvPr>
            <xdr:cNvSpPr>
              <a:spLocks noChangeShapeType="1"/>
            </xdr:cNvSpPr>
          </xdr:nvSpPr>
          <xdr:spPr bwMode="auto">
            <a:xfrm>
              <a:off x="109146975" y="109118400"/>
              <a:ext cx="628650" cy="685800"/>
            </a:xfrm>
            <a:prstGeom prst="line">
              <a:avLst/>
            </a:prstGeom>
            <a:noFill/>
            <a:ln w="9525" algn="ctr">
              <a:solidFill>
                <a:srgbClr val="000000"/>
              </a:solidFill>
              <a:round/>
              <a:headEnd/>
              <a:tailEnd/>
            </a:ln>
            <a:effectLst/>
          </xdr:spPr>
        </xdr:sp>
        <xdr:sp macro="" textlink="">
          <xdr:nvSpPr>
            <xdr:cNvPr id="9" name="Line 9">
              <a:extLst>
                <a:ext uri="{FF2B5EF4-FFF2-40B4-BE49-F238E27FC236}">
                  <a16:creationId xmlns:a16="http://schemas.microsoft.com/office/drawing/2014/main" id="{00000000-0008-0000-0000-000009000000}"/>
                </a:ext>
              </a:extLst>
            </xdr:cNvPr>
            <xdr:cNvSpPr>
              <a:spLocks noChangeShapeType="1"/>
            </xdr:cNvSpPr>
          </xdr:nvSpPr>
          <xdr:spPr bwMode="auto">
            <a:xfrm>
              <a:off x="109146975" y="109118400"/>
              <a:ext cx="0" cy="685800"/>
            </a:xfrm>
            <a:prstGeom prst="line">
              <a:avLst/>
            </a:prstGeom>
            <a:noFill/>
            <a:ln w="9525" algn="ctr">
              <a:solidFill>
                <a:srgbClr val="000000"/>
              </a:solidFill>
              <a:round/>
              <a:headEnd/>
              <a:tailEnd/>
            </a:ln>
            <a:effectLst/>
          </xdr:spPr>
        </xdr:sp>
        <xdr:sp macro="" textlink="">
          <xdr:nvSpPr>
            <xdr:cNvPr id="10" name="Text Box 10">
              <a:extLst>
                <a:ext uri="{FF2B5EF4-FFF2-40B4-BE49-F238E27FC236}">
                  <a16:creationId xmlns:a16="http://schemas.microsoft.com/office/drawing/2014/main" id="{00000000-0008-0000-0000-00000A000000}"/>
                </a:ext>
              </a:extLst>
            </xdr:cNvPr>
            <xdr:cNvSpPr txBox="1">
              <a:spLocks noChangeArrowheads="1"/>
            </xdr:cNvSpPr>
          </xdr:nvSpPr>
          <xdr:spPr bwMode="auto">
            <a:xfrm>
              <a:off x="108404025" y="108546900"/>
              <a:ext cx="685800" cy="28575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000" b="1" i="0" u="none" strike="noStrike" baseline="0">
                  <a:solidFill>
                    <a:srgbClr val="000000"/>
                  </a:solidFill>
                  <a:latin typeface="Times New Roman"/>
                  <a:cs typeface="Times New Roman"/>
                </a:rPr>
                <a:t>max</a:t>
              </a:r>
              <a:r>
                <a:rPr lang="az-Cyrl-AZ" sz="1000" b="1" i="0" u="none" strike="noStrike" baseline="0">
                  <a:solidFill>
                    <a:srgbClr val="000000"/>
                  </a:solidFill>
                  <a:latin typeface="Times New Roman Cyr"/>
                  <a:cs typeface="Times New Roman Cyr"/>
                </a:rPr>
                <a:t>б</a:t>
              </a:r>
              <a:r>
                <a:rPr lang="az-Cyrl-AZ" sz="1000" b="0" i="0" u="none" strike="noStrike" baseline="0">
                  <a:solidFill>
                    <a:srgbClr val="000000"/>
                  </a:solidFill>
                  <a:latin typeface="Times New Roman Cyr"/>
                  <a:cs typeface="Times New Roman Cyr"/>
                </a:rPr>
                <a:t>в</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grpSp>
    </xdr:grpSp>
    <xdr:clientData/>
  </xdr:twoCellAnchor>
  <xdr:twoCellAnchor>
    <xdr:from>
      <xdr:col>6</xdr:col>
      <xdr:colOff>104775</xdr:colOff>
      <xdr:row>95</xdr:row>
      <xdr:rowOff>123826</xdr:rowOff>
    </xdr:from>
    <xdr:to>
      <xdr:col>8</xdr:col>
      <xdr:colOff>523875</xdr:colOff>
      <xdr:row>101</xdr:row>
      <xdr:rowOff>114301</xdr:rowOff>
    </xdr:to>
    <xdr:grpSp>
      <xdr:nvGrpSpPr>
        <xdr:cNvPr id="1035" name="Group 11">
          <a:extLst>
            <a:ext uri="{FF2B5EF4-FFF2-40B4-BE49-F238E27FC236}">
              <a16:creationId xmlns:a16="http://schemas.microsoft.com/office/drawing/2014/main" id="{00000000-0008-0000-0000-00000B040000}"/>
            </a:ext>
          </a:extLst>
        </xdr:cNvPr>
        <xdr:cNvGrpSpPr>
          <a:grpSpLocks/>
        </xdr:cNvGrpSpPr>
      </xdr:nvGrpSpPr>
      <xdr:grpSpPr bwMode="auto">
        <a:xfrm>
          <a:off x="6078855" y="20705446"/>
          <a:ext cx="1699260" cy="1186815"/>
          <a:chOff x="108746925" y="110375700"/>
          <a:chExt cx="2114550" cy="1371600"/>
        </a:xfrm>
      </xdr:grpSpPr>
      <xdr:grpSp>
        <xdr:nvGrpSpPr>
          <xdr:cNvPr id="1036" name="Group 12">
            <a:extLst>
              <a:ext uri="{FF2B5EF4-FFF2-40B4-BE49-F238E27FC236}">
                <a16:creationId xmlns:a16="http://schemas.microsoft.com/office/drawing/2014/main" id="{00000000-0008-0000-0000-00000C040000}"/>
              </a:ext>
            </a:extLst>
          </xdr:cNvPr>
          <xdr:cNvGrpSpPr>
            <a:grpSpLocks/>
          </xdr:cNvGrpSpPr>
        </xdr:nvGrpSpPr>
        <xdr:grpSpPr bwMode="auto">
          <a:xfrm>
            <a:off x="108746925" y="110375700"/>
            <a:ext cx="1543050" cy="1200151"/>
            <a:chOff x="108746925" y="110375700"/>
            <a:chExt cx="1543050" cy="1200151"/>
          </a:xfrm>
        </xdr:grpSpPr>
        <xdr:grpSp>
          <xdr:nvGrpSpPr>
            <xdr:cNvPr id="1037" name="Group 13">
              <a:extLst>
                <a:ext uri="{FF2B5EF4-FFF2-40B4-BE49-F238E27FC236}">
                  <a16:creationId xmlns:a16="http://schemas.microsoft.com/office/drawing/2014/main" id="{00000000-0008-0000-0000-00000D040000}"/>
                </a:ext>
              </a:extLst>
            </xdr:cNvPr>
            <xdr:cNvGrpSpPr>
              <a:grpSpLocks/>
            </xdr:cNvGrpSpPr>
          </xdr:nvGrpSpPr>
          <xdr:grpSpPr bwMode="auto">
            <a:xfrm>
              <a:off x="109089825" y="110661450"/>
              <a:ext cx="1200150" cy="914401"/>
              <a:chOff x="109442250" y="111204375"/>
              <a:chExt cx="1200150" cy="914401"/>
            </a:xfrm>
          </xdr:grpSpPr>
          <xdr:sp macro="" textlink="">
            <xdr:nvSpPr>
              <xdr:cNvPr id="1038" name="Line 14">
                <a:extLst>
                  <a:ext uri="{FF2B5EF4-FFF2-40B4-BE49-F238E27FC236}">
                    <a16:creationId xmlns:a16="http://schemas.microsoft.com/office/drawing/2014/main" id="{00000000-0008-0000-0000-00000E040000}"/>
                  </a:ext>
                </a:extLst>
              </xdr:cNvPr>
              <xdr:cNvSpPr>
                <a:spLocks noChangeShapeType="1"/>
              </xdr:cNvSpPr>
            </xdr:nvSpPr>
            <xdr:spPr bwMode="auto">
              <a:xfrm>
                <a:off x="109442250" y="111204375"/>
                <a:ext cx="1" cy="914400"/>
              </a:xfrm>
              <a:prstGeom prst="line">
                <a:avLst/>
              </a:prstGeom>
              <a:noFill/>
              <a:ln w="9525" algn="ctr">
                <a:solidFill>
                  <a:srgbClr val="000000"/>
                </a:solidFill>
                <a:round/>
                <a:headEnd/>
                <a:tailEnd/>
              </a:ln>
              <a:effectLst/>
            </xdr:spPr>
          </xdr:sp>
          <xdr:sp macro="" textlink="">
            <xdr:nvSpPr>
              <xdr:cNvPr id="1039" name="Line 15">
                <a:extLst>
                  <a:ext uri="{FF2B5EF4-FFF2-40B4-BE49-F238E27FC236}">
                    <a16:creationId xmlns:a16="http://schemas.microsoft.com/office/drawing/2014/main" id="{00000000-0008-0000-0000-00000F040000}"/>
                  </a:ext>
                </a:extLst>
              </xdr:cNvPr>
              <xdr:cNvSpPr>
                <a:spLocks noChangeShapeType="1"/>
              </xdr:cNvSpPr>
            </xdr:nvSpPr>
            <xdr:spPr bwMode="auto">
              <a:xfrm>
                <a:off x="109442250" y="112118775"/>
                <a:ext cx="1200150" cy="1"/>
              </a:xfrm>
              <a:prstGeom prst="line">
                <a:avLst/>
              </a:prstGeom>
              <a:noFill/>
              <a:ln w="9525" algn="ctr">
                <a:solidFill>
                  <a:srgbClr val="000000"/>
                </a:solidFill>
                <a:round/>
                <a:headEnd/>
                <a:tailEnd/>
              </a:ln>
              <a:effectLst/>
            </xdr:spPr>
          </xdr:sp>
        </xdr:grpSp>
        <xdr:sp macro="" textlink="">
          <xdr:nvSpPr>
            <xdr:cNvPr id="1040" name="Line 16">
              <a:extLst>
                <a:ext uri="{FF2B5EF4-FFF2-40B4-BE49-F238E27FC236}">
                  <a16:creationId xmlns:a16="http://schemas.microsoft.com/office/drawing/2014/main" id="{00000000-0008-0000-0000-000010040000}"/>
                </a:ext>
              </a:extLst>
            </xdr:cNvPr>
            <xdr:cNvSpPr>
              <a:spLocks noChangeShapeType="1"/>
            </xdr:cNvSpPr>
          </xdr:nvSpPr>
          <xdr:spPr bwMode="auto">
            <a:xfrm>
              <a:off x="109089825" y="110832900"/>
              <a:ext cx="742950" cy="742950"/>
            </a:xfrm>
            <a:prstGeom prst="line">
              <a:avLst/>
            </a:prstGeom>
            <a:noFill/>
            <a:ln w="9525">
              <a:solidFill>
                <a:srgbClr val="000000"/>
              </a:solidFill>
              <a:round/>
              <a:headEnd/>
              <a:tailEnd/>
            </a:ln>
            <a:effectLst/>
          </xdr:spPr>
        </xdr:sp>
        <xdr:sp macro="" textlink="">
          <xdr:nvSpPr>
            <xdr:cNvPr id="1041" name="Text Box 17">
              <a:extLst>
                <a:ext uri="{FF2B5EF4-FFF2-40B4-BE49-F238E27FC236}">
                  <a16:creationId xmlns:a16="http://schemas.microsoft.com/office/drawing/2014/main" id="{00000000-0008-0000-0000-000011040000}"/>
                </a:ext>
              </a:extLst>
            </xdr:cNvPr>
            <xdr:cNvSpPr txBox="1">
              <a:spLocks noChangeArrowheads="1"/>
            </xdr:cNvSpPr>
          </xdr:nvSpPr>
          <xdr:spPr bwMode="auto">
            <a:xfrm>
              <a:off x="108746925" y="110375700"/>
              <a:ext cx="685800" cy="28575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000" b="1" i="0" u="none" strike="noStrike" baseline="0">
                  <a:solidFill>
                    <a:srgbClr val="000000"/>
                  </a:solidFill>
                  <a:latin typeface="Times New Roman"/>
                  <a:cs typeface="Times New Roman"/>
                </a:rPr>
                <a:t>max</a:t>
              </a:r>
              <a:r>
                <a:rPr lang="az-Cyrl-AZ" sz="1000" b="1" i="0" u="none" strike="noStrike" baseline="0">
                  <a:solidFill>
                    <a:srgbClr val="000000"/>
                  </a:solidFill>
                  <a:latin typeface="Times New Roman Cyr"/>
                  <a:cs typeface="Times New Roman Cyr"/>
                </a:rPr>
                <a:t>б</a:t>
              </a:r>
              <a:r>
                <a:rPr lang="az-Cyrl-AZ" sz="1000" b="0" i="0" u="none" strike="noStrike" baseline="0">
                  <a:solidFill>
                    <a:srgbClr val="000000"/>
                  </a:solidFill>
                  <a:latin typeface="Times New Roman Cyr"/>
                  <a:cs typeface="Times New Roman Cyr"/>
                </a:rPr>
                <a:t>в</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grpSp>
      <xdr:sp macro="" textlink="">
        <xdr:nvSpPr>
          <xdr:cNvPr id="1042" name="Text Box 18">
            <a:extLst>
              <a:ext uri="{FF2B5EF4-FFF2-40B4-BE49-F238E27FC236}">
                <a16:creationId xmlns:a16="http://schemas.microsoft.com/office/drawing/2014/main" id="{00000000-0008-0000-0000-000012040000}"/>
              </a:ext>
            </a:extLst>
          </xdr:cNvPr>
          <xdr:cNvSpPr txBox="1">
            <a:spLocks noChangeArrowheads="1"/>
          </xdr:cNvSpPr>
        </xdr:nvSpPr>
        <xdr:spPr bwMode="auto">
          <a:xfrm>
            <a:off x="110289975" y="111518700"/>
            <a:ext cx="571500"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l-GR" sz="1400" b="1" i="0" u="none" strike="noStrike" baseline="0">
                <a:solidFill>
                  <a:srgbClr val="000000"/>
                </a:solidFill>
                <a:latin typeface="Times New Roman Greek"/>
                <a:cs typeface="Times New Roman Greek"/>
              </a:rPr>
              <a:t>τ</a:t>
            </a:r>
            <a:endParaRPr lang="el-GR" sz="400" b="1" i="0" u="none" strike="noStrike" baseline="0">
              <a:solidFill>
                <a:srgbClr val="000000"/>
              </a:solidFill>
              <a:latin typeface="Times New Roman"/>
              <a:cs typeface="Times New Roman"/>
            </a:endParaRPr>
          </a:p>
          <a:p>
            <a:pPr algn="l" rtl="0">
              <a:defRPr sz="1000"/>
            </a:pPr>
            <a:endParaRPr lang="el-GR" sz="400" b="1" i="0" u="none" strike="noStrike" baseline="0">
              <a:solidFill>
                <a:srgbClr val="000000"/>
              </a:solidFill>
              <a:latin typeface="Times New Roman"/>
              <a:cs typeface="Times New Roman"/>
            </a:endParaRPr>
          </a:p>
        </xdr:txBody>
      </xdr:sp>
    </xdr:grpSp>
    <xdr:clientData/>
  </xdr:twoCellAnchor>
  <xdr:twoCellAnchor>
    <xdr:from>
      <xdr:col>5</xdr:col>
      <xdr:colOff>838200</xdr:colOff>
      <xdr:row>116</xdr:row>
      <xdr:rowOff>57149</xdr:rowOff>
    </xdr:from>
    <xdr:to>
      <xdr:col>10</xdr:col>
      <xdr:colOff>533400</xdr:colOff>
      <xdr:row>133</xdr:row>
      <xdr:rowOff>47625</xdr:rowOff>
    </xdr:to>
    <xdr:graphicFrame macro="">
      <xdr:nvGraphicFramePr>
        <xdr:cNvPr id="32" name="Chart 31">
          <a:extLst>
            <a:ext uri="{FF2B5EF4-FFF2-40B4-BE49-F238E27FC236}">
              <a16:creationId xmlns:a16="http://schemas.microsoft.com/office/drawing/2014/main" id="{00000000-0008-0000-00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1219200</xdr:colOff>
      <xdr:row>151</xdr:row>
      <xdr:rowOff>95250</xdr:rowOff>
    </xdr:from>
    <xdr:to>
      <xdr:col>7</xdr:col>
      <xdr:colOff>609600</xdr:colOff>
      <xdr:row>164</xdr:row>
      <xdr:rowOff>171450</xdr:rowOff>
    </xdr:to>
    <xdr:graphicFrame macro="">
      <xdr:nvGraphicFramePr>
        <xdr:cNvPr id="34" name="Chart 33">
          <a:extLst>
            <a:ext uri="{FF2B5EF4-FFF2-40B4-BE49-F238E27FC236}">
              <a16:creationId xmlns:a16="http://schemas.microsoft.com/office/drawing/2014/main" id="{00000000-0008-0000-00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257647</xdr:colOff>
      <xdr:row>9</xdr:row>
      <xdr:rowOff>37352</xdr:rowOff>
    </xdr:from>
    <xdr:to>
      <xdr:col>17</xdr:col>
      <xdr:colOff>257357</xdr:colOff>
      <xdr:row>9</xdr:row>
      <xdr:rowOff>83071</xdr:rowOff>
    </xdr:to>
    <xdr:sp macro="" textlink="">
      <xdr:nvSpPr>
        <xdr:cNvPr id="49" name="Rectangle 48">
          <a:extLst>
            <a:ext uri="{FF2B5EF4-FFF2-40B4-BE49-F238E27FC236}">
              <a16:creationId xmlns:a16="http://schemas.microsoft.com/office/drawing/2014/main" id="{00000000-0008-0000-0100-000031000000}"/>
            </a:ext>
          </a:extLst>
        </xdr:cNvPr>
        <xdr:cNvSpPr/>
      </xdr:nvSpPr>
      <xdr:spPr>
        <a:xfrm rot="1173924">
          <a:off x="1629247" y="1847102"/>
          <a:ext cx="10286710" cy="45719"/>
        </a:xfrm>
        <a:prstGeom prst="rect">
          <a:avLst/>
        </a:prstGeom>
        <a:ln>
          <a:solidFill>
            <a:schemeClr val="accent6">
              <a:lumMod val="60000"/>
              <a:lumOff val="40000"/>
            </a:schemeClr>
          </a:solidFill>
        </a:ln>
        <a:effectLst>
          <a:outerShdw blurRad="50800" dist="50800" dir="5400000" algn="ctr" rotWithShape="0">
            <a:schemeClr val="accent6">
              <a:lumMod val="60000"/>
              <a:lumOff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6</xdr:col>
      <xdr:colOff>240030</xdr:colOff>
      <xdr:row>6</xdr:row>
      <xdr:rowOff>193355</xdr:rowOff>
    </xdr:from>
    <xdr:to>
      <xdr:col>6</xdr:col>
      <xdr:colOff>482920</xdr:colOff>
      <xdr:row>11</xdr:row>
      <xdr:rowOff>192402</xdr:rowOff>
    </xdr:to>
    <xdr:grpSp>
      <xdr:nvGrpSpPr>
        <xdr:cNvPr id="54" name="Group 53">
          <a:extLst>
            <a:ext uri="{FF2B5EF4-FFF2-40B4-BE49-F238E27FC236}">
              <a16:creationId xmlns:a16="http://schemas.microsoft.com/office/drawing/2014/main" id="{00000000-0008-0000-0100-000036000000}"/>
            </a:ext>
          </a:extLst>
        </xdr:cNvPr>
        <xdr:cNvGrpSpPr/>
      </xdr:nvGrpSpPr>
      <xdr:grpSpPr>
        <a:xfrm rot="18204521">
          <a:off x="3890011" y="1763074"/>
          <a:ext cx="989647" cy="242890"/>
          <a:chOff x="8043863" y="361947"/>
          <a:chExt cx="999172" cy="242890"/>
        </a:xfrm>
      </xdr:grpSpPr>
      <xdr:grpSp>
        <xdr:nvGrpSpPr>
          <xdr:cNvPr id="52" name="Group 51">
            <a:extLst>
              <a:ext uri="{FF2B5EF4-FFF2-40B4-BE49-F238E27FC236}">
                <a16:creationId xmlns:a16="http://schemas.microsoft.com/office/drawing/2014/main" id="{00000000-0008-0000-0100-000034000000}"/>
              </a:ext>
            </a:extLst>
          </xdr:cNvPr>
          <xdr:cNvGrpSpPr/>
        </xdr:nvGrpSpPr>
        <xdr:grpSpPr>
          <a:xfrm>
            <a:off x="8043863" y="361947"/>
            <a:ext cx="999172" cy="242890"/>
            <a:chOff x="8043863" y="361947"/>
            <a:chExt cx="999172" cy="242890"/>
          </a:xfrm>
        </xdr:grpSpPr>
        <xdr:sp macro="" textlink="">
          <xdr:nvSpPr>
            <xdr:cNvPr id="50" name="Isosceles Triangle 49">
              <a:extLst>
                <a:ext uri="{FF2B5EF4-FFF2-40B4-BE49-F238E27FC236}">
                  <a16:creationId xmlns:a16="http://schemas.microsoft.com/office/drawing/2014/main" id="{00000000-0008-0000-0100-000032000000}"/>
                </a:ext>
              </a:extLst>
            </xdr:cNvPr>
            <xdr:cNvSpPr/>
          </xdr:nvSpPr>
          <xdr:spPr>
            <a:xfrm rot="16200000">
              <a:off x="8005762" y="400048"/>
              <a:ext cx="242890" cy="166687"/>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sp macro="" textlink="">
          <xdr:nvSpPr>
            <xdr:cNvPr id="51" name="Rectangle 50">
              <a:extLst>
                <a:ext uri="{FF2B5EF4-FFF2-40B4-BE49-F238E27FC236}">
                  <a16:creationId xmlns:a16="http://schemas.microsoft.com/office/drawing/2014/main" id="{00000000-0008-0000-0100-000033000000}"/>
                </a:ext>
              </a:extLst>
            </xdr:cNvPr>
            <xdr:cNvSpPr/>
          </xdr:nvSpPr>
          <xdr:spPr>
            <a:xfrm>
              <a:off x="8220075" y="371475"/>
              <a:ext cx="822960" cy="2190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grpSp>
      <xdr:sp macro="" textlink="">
        <xdr:nvSpPr>
          <xdr:cNvPr id="53" name="Oval 52">
            <a:extLst>
              <a:ext uri="{FF2B5EF4-FFF2-40B4-BE49-F238E27FC236}">
                <a16:creationId xmlns:a16="http://schemas.microsoft.com/office/drawing/2014/main" id="{00000000-0008-0000-0100-000035000000}"/>
              </a:ext>
            </a:extLst>
          </xdr:cNvPr>
          <xdr:cNvSpPr/>
        </xdr:nvSpPr>
        <xdr:spPr>
          <a:xfrm>
            <a:off x="8401050" y="466725"/>
            <a:ext cx="95250" cy="45719"/>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grpSp>
    <xdr:clientData/>
  </xdr:twoCellAnchor>
  <xdr:twoCellAnchor>
    <xdr:from>
      <xdr:col>4</xdr:col>
      <xdr:colOff>0</xdr:colOff>
      <xdr:row>11</xdr:row>
      <xdr:rowOff>114300</xdr:rowOff>
    </xdr:from>
    <xdr:to>
      <xdr:col>6</xdr:col>
      <xdr:colOff>514350</xdr:colOff>
      <xdr:row>11</xdr:row>
      <xdr:rowOff>114301</xdr:rowOff>
    </xdr:to>
    <xdr:cxnSp macro="">
      <xdr:nvCxnSpPr>
        <xdr:cNvPr id="56" name="Straight Connector 55">
          <a:extLst>
            <a:ext uri="{FF2B5EF4-FFF2-40B4-BE49-F238E27FC236}">
              <a16:creationId xmlns:a16="http://schemas.microsoft.com/office/drawing/2014/main" id="{00000000-0008-0000-0100-000038000000}"/>
            </a:ext>
          </a:extLst>
        </xdr:cNvPr>
        <xdr:cNvCxnSpPr/>
      </xdr:nvCxnSpPr>
      <xdr:spPr>
        <a:xfrm>
          <a:off x="2743200" y="2324100"/>
          <a:ext cx="1885950" cy="1"/>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676275</xdr:colOff>
      <xdr:row>5</xdr:row>
      <xdr:rowOff>190500</xdr:rowOff>
    </xdr:from>
    <xdr:to>
      <xdr:col>7</xdr:col>
      <xdr:colOff>114300</xdr:colOff>
      <xdr:row>6</xdr:row>
      <xdr:rowOff>9525</xdr:rowOff>
    </xdr:to>
    <xdr:cxnSp macro="">
      <xdr:nvCxnSpPr>
        <xdr:cNvPr id="57" name="Straight Connector 56">
          <a:extLst>
            <a:ext uri="{FF2B5EF4-FFF2-40B4-BE49-F238E27FC236}">
              <a16:creationId xmlns:a16="http://schemas.microsoft.com/office/drawing/2014/main" id="{00000000-0008-0000-0100-000039000000}"/>
            </a:ext>
          </a:extLst>
        </xdr:cNvPr>
        <xdr:cNvCxnSpPr/>
      </xdr:nvCxnSpPr>
      <xdr:spPr>
        <a:xfrm>
          <a:off x="2733675" y="1200150"/>
          <a:ext cx="2181225" cy="1905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628650</xdr:colOff>
      <xdr:row>0</xdr:row>
      <xdr:rowOff>28575</xdr:rowOff>
    </xdr:from>
    <xdr:to>
      <xdr:col>6</xdr:col>
      <xdr:colOff>634564</xdr:colOff>
      <xdr:row>7</xdr:row>
      <xdr:rowOff>74570</xdr:rowOff>
    </xdr:to>
    <xdr:cxnSp macro="">
      <xdr:nvCxnSpPr>
        <xdr:cNvPr id="58" name="Straight Connector 57">
          <a:extLst>
            <a:ext uri="{FF2B5EF4-FFF2-40B4-BE49-F238E27FC236}">
              <a16:creationId xmlns:a16="http://schemas.microsoft.com/office/drawing/2014/main" id="{00000000-0008-0000-0100-00003A000000}"/>
            </a:ext>
          </a:extLst>
        </xdr:cNvPr>
        <xdr:cNvCxnSpPr>
          <a:stCxn id="51" idx="3"/>
        </xdr:cNvCxnSpPr>
      </xdr:nvCxnSpPr>
      <xdr:spPr>
        <a:xfrm flipH="1" flipV="1">
          <a:off x="4743450" y="28575"/>
          <a:ext cx="5914" cy="1455695"/>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9</xdr:row>
      <xdr:rowOff>152400</xdr:rowOff>
    </xdr:from>
    <xdr:to>
      <xdr:col>6</xdr:col>
      <xdr:colOff>247650</xdr:colOff>
      <xdr:row>9</xdr:row>
      <xdr:rowOff>152400</xdr:rowOff>
    </xdr:to>
    <xdr:cxnSp macro="">
      <xdr:nvCxnSpPr>
        <xdr:cNvPr id="59" name="Straight Connector 58">
          <a:extLst>
            <a:ext uri="{FF2B5EF4-FFF2-40B4-BE49-F238E27FC236}">
              <a16:creationId xmlns:a16="http://schemas.microsoft.com/office/drawing/2014/main" id="{00000000-0008-0000-0100-00003B000000}"/>
            </a:ext>
          </a:extLst>
        </xdr:cNvPr>
        <xdr:cNvCxnSpPr/>
      </xdr:nvCxnSpPr>
      <xdr:spPr>
        <a:xfrm>
          <a:off x="3543300" y="1962150"/>
          <a:ext cx="819150" cy="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634564</xdr:colOff>
      <xdr:row>1</xdr:row>
      <xdr:rowOff>152400</xdr:rowOff>
    </xdr:from>
    <xdr:to>
      <xdr:col>8</xdr:col>
      <xdr:colOff>38100</xdr:colOff>
      <xdr:row>7</xdr:row>
      <xdr:rowOff>74570</xdr:rowOff>
    </xdr:to>
    <xdr:cxnSp macro="">
      <xdr:nvCxnSpPr>
        <xdr:cNvPr id="60" name="Straight Connector 59">
          <a:extLst>
            <a:ext uri="{FF2B5EF4-FFF2-40B4-BE49-F238E27FC236}">
              <a16:creationId xmlns:a16="http://schemas.microsoft.com/office/drawing/2014/main" id="{00000000-0008-0000-0100-00003C000000}"/>
            </a:ext>
          </a:extLst>
        </xdr:cNvPr>
        <xdr:cNvCxnSpPr>
          <a:stCxn id="51" idx="3"/>
        </xdr:cNvCxnSpPr>
      </xdr:nvCxnSpPr>
      <xdr:spPr>
        <a:xfrm flipV="1">
          <a:off x="4749364" y="352425"/>
          <a:ext cx="775136" cy="1131845"/>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9</xdr:row>
      <xdr:rowOff>171450</xdr:rowOff>
    </xdr:from>
    <xdr:to>
      <xdr:col>7</xdr:col>
      <xdr:colOff>9525</xdr:colOff>
      <xdr:row>18</xdr:row>
      <xdr:rowOff>0</xdr:rowOff>
    </xdr:to>
    <xdr:cxnSp macro="">
      <xdr:nvCxnSpPr>
        <xdr:cNvPr id="61" name="Straight Connector 60">
          <a:extLst>
            <a:ext uri="{FF2B5EF4-FFF2-40B4-BE49-F238E27FC236}">
              <a16:creationId xmlns:a16="http://schemas.microsoft.com/office/drawing/2014/main" id="{00000000-0008-0000-0100-00003D000000}"/>
            </a:ext>
          </a:extLst>
        </xdr:cNvPr>
        <xdr:cNvCxnSpPr/>
      </xdr:nvCxnSpPr>
      <xdr:spPr>
        <a:xfrm>
          <a:off x="4800600" y="1981200"/>
          <a:ext cx="9525" cy="1638300"/>
        </a:xfrm>
        <a:prstGeom prst="line">
          <a:avLst/>
        </a:prstGeom>
        <a:ln>
          <a:solidFill>
            <a:schemeClr val="tx1"/>
          </a:solidFill>
          <a:prstDash val="dash"/>
          <a:headEnd type="stealth"/>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295274</xdr:colOff>
      <xdr:row>7</xdr:row>
      <xdr:rowOff>190500</xdr:rowOff>
    </xdr:from>
    <xdr:to>
      <xdr:col>4</xdr:col>
      <xdr:colOff>133350</xdr:colOff>
      <xdr:row>9</xdr:row>
      <xdr:rowOff>95250</xdr:rowOff>
    </xdr:to>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2352674" y="1600200"/>
          <a:ext cx="523876" cy="304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latin typeface="Times New Roman" pitchFamily="18" charset="0"/>
              <a:cs typeface="Times New Roman" pitchFamily="18" charset="0"/>
            </a:rPr>
            <a:t>h</a:t>
          </a:r>
          <a:r>
            <a:rPr lang="en-US" sz="1200">
              <a:latin typeface="Times New Roman" pitchFamily="18" charset="0"/>
              <a:cs typeface="Times New Roman" pitchFamily="18" charset="0"/>
            </a:rPr>
            <a:t>np</a:t>
          </a:r>
          <a:endParaRPr lang="en-US" sz="1100"/>
        </a:p>
      </xdr:txBody>
    </xdr:sp>
    <xdr:clientData/>
  </xdr:twoCellAnchor>
  <xdr:twoCellAnchor>
    <xdr:from>
      <xdr:col>5</xdr:col>
      <xdr:colOff>133350</xdr:colOff>
      <xdr:row>9</xdr:row>
      <xdr:rowOff>161925</xdr:rowOff>
    </xdr:from>
    <xdr:to>
      <xdr:col>5</xdr:col>
      <xdr:colOff>142875</xdr:colOff>
      <xdr:row>11</xdr:row>
      <xdr:rowOff>142875</xdr:rowOff>
    </xdr:to>
    <xdr:cxnSp macro="">
      <xdr:nvCxnSpPr>
        <xdr:cNvPr id="74" name="Straight Connector 73">
          <a:extLst>
            <a:ext uri="{FF2B5EF4-FFF2-40B4-BE49-F238E27FC236}">
              <a16:creationId xmlns:a16="http://schemas.microsoft.com/office/drawing/2014/main" id="{00000000-0008-0000-0100-00004A000000}"/>
            </a:ext>
          </a:extLst>
        </xdr:cNvPr>
        <xdr:cNvCxnSpPr/>
      </xdr:nvCxnSpPr>
      <xdr:spPr>
        <a:xfrm flipH="1">
          <a:off x="3562350" y="1971675"/>
          <a:ext cx="9525" cy="381000"/>
        </a:xfrm>
        <a:prstGeom prst="line">
          <a:avLst/>
        </a:prstGeom>
        <a:ln>
          <a:solidFill>
            <a:schemeClr val="tx1"/>
          </a:solidFill>
          <a:prstDash val="dash"/>
          <a:headEnd type="stealth"/>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6</xdr:row>
      <xdr:rowOff>0</xdr:rowOff>
    </xdr:from>
    <xdr:to>
      <xdr:col>4</xdr:col>
      <xdr:colOff>9525</xdr:colOff>
      <xdr:row>11</xdr:row>
      <xdr:rowOff>133350</xdr:rowOff>
    </xdr:to>
    <xdr:cxnSp macro="">
      <xdr:nvCxnSpPr>
        <xdr:cNvPr id="75" name="Straight Connector 74">
          <a:extLst>
            <a:ext uri="{FF2B5EF4-FFF2-40B4-BE49-F238E27FC236}">
              <a16:creationId xmlns:a16="http://schemas.microsoft.com/office/drawing/2014/main" id="{00000000-0008-0000-0100-00004B000000}"/>
            </a:ext>
          </a:extLst>
        </xdr:cNvPr>
        <xdr:cNvCxnSpPr/>
      </xdr:nvCxnSpPr>
      <xdr:spPr>
        <a:xfrm>
          <a:off x="2743200" y="1209675"/>
          <a:ext cx="9525" cy="1133475"/>
        </a:xfrm>
        <a:prstGeom prst="line">
          <a:avLst/>
        </a:prstGeom>
        <a:ln>
          <a:solidFill>
            <a:schemeClr val="tx1"/>
          </a:solidFill>
          <a:prstDash val="dash"/>
          <a:headEnd type="stealth"/>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504825</xdr:colOff>
      <xdr:row>13</xdr:row>
      <xdr:rowOff>133350</xdr:rowOff>
    </xdr:from>
    <xdr:to>
      <xdr:col>7</xdr:col>
      <xdr:colOff>238126</xdr:colOff>
      <xdr:row>15</xdr:row>
      <xdr:rowOff>38100</xdr:rowOff>
    </xdr:to>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4619625" y="2743200"/>
          <a:ext cx="419101"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200">
              <a:latin typeface="Times New Roman" pitchFamily="18" charset="0"/>
              <a:cs typeface="Times New Roman" pitchFamily="18" charset="0"/>
            </a:rPr>
            <a:t>R</a:t>
          </a:r>
          <a:r>
            <a:rPr lang="en-US" sz="1100"/>
            <a:t>0</a:t>
          </a:r>
        </a:p>
      </xdr:txBody>
    </xdr:sp>
    <xdr:clientData/>
  </xdr:twoCellAnchor>
  <xdr:twoCellAnchor>
    <xdr:from>
      <xdr:col>4</xdr:col>
      <xdr:colOff>533401</xdr:colOff>
      <xdr:row>10</xdr:row>
      <xdr:rowOff>57150</xdr:rowOff>
    </xdr:from>
    <xdr:to>
      <xdr:col>5</xdr:col>
      <xdr:colOff>133351</xdr:colOff>
      <xdr:row>11</xdr:row>
      <xdr:rowOff>95250</xdr:rowOff>
    </xdr:to>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3276601" y="2066925"/>
          <a:ext cx="28575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200">
              <a:latin typeface="Times New Roman" pitchFamily="18" charset="0"/>
              <a:cs typeface="Times New Roman" pitchFamily="18" charset="0"/>
            </a:rPr>
            <a:t>ц</a:t>
          </a:r>
          <a:endParaRPr lang="en-US" sz="1100"/>
        </a:p>
      </xdr:txBody>
    </xdr:sp>
    <xdr:clientData/>
  </xdr:twoCellAnchor>
  <xdr:twoCellAnchor>
    <xdr:from>
      <xdr:col>12</xdr:col>
      <xdr:colOff>0</xdr:colOff>
      <xdr:row>6</xdr:row>
      <xdr:rowOff>0</xdr:rowOff>
    </xdr:from>
    <xdr:to>
      <xdr:col>12</xdr:col>
      <xdr:colOff>419101</xdr:colOff>
      <xdr:row>7</xdr:row>
      <xdr:rowOff>104775</xdr:rowOff>
    </xdr:to>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8229600" y="1209675"/>
          <a:ext cx="419101"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200">
              <a:latin typeface="Times New Roman" pitchFamily="18" charset="0"/>
              <a:cs typeface="Times New Roman" pitchFamily="18" charset="0"/>
            </a:rPr>
            <a:t>R</a:t>
          </a:r>
          <a:r>
            <a:rPr lang="en-US" sz="1100"/>
            <a:t>0</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666750</xdr:colOff>
      <xdr:row>222</xdr:row>
      <xdr:rowOff>19050</xdr:rowOff>
    </xdr:from>
    <xdr:to>
      <xdr:col>7</xdr:col>
      <xdr:colOff>619125</xdr:colOff>
      <xdr:row>241</xdr:row>
      <xdr:rowOff>133351</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198</xdr:row>
      <xdr:rowOff>114300</xdr:rowOff>
    </xdr:from>
    <xdr:to>
      <xdr:col>9</xdr:col>
      <xdr:colOff>0</xdr:colOff>
      <xdr:row>216</xdr:row>
      <xdr:rowOff>161925</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85725</xdr:colOff>
      <xdr:row>153</xdr:row>
      <xdr:rowOff>152400</xdr:rowOff>
    </xdr:from>
    <xdr:to>
      <xdr:col>7</xdr:col>
      <xdr:colOff>476250</xdr:colOff>
      <xdr:row>180</xdr:row>
      <xdr:rowOff>9525</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66675</xdr:colOff>
      <xdr:row>126</xdr:row>
      <xdr:rowOff>9525</xdr:rowOff>
    </xdr:from>
    <xdr:to>
      <xdr:col>7</xdr:col>
      <xdr:colOff>457200</xdr:colOff>
      <xdr:row>152</xdr:row>
      <xdr:rowOff>28576</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AppData/Roaming/Microsoft/Excel/&#1583;&#1585;&#1575;&#1587;&#1575;&#1578;/&#1605;&#1602;&#1575;&#1585;%20&#1602;&#1610;&#1575;&#1583;&#1577;-&#1602;&#1606;&#1576;&#1604;&#1577;%20&#1575;&#1606;&#1601;&#1580;&#1575;&#1585;&#1610;&#157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ow r="1">
          <cell r="A1">
            <v>0</v>
          </cell>
          <cell r="B1">
            <v>1</v>
          </cell>
          <cell r="C1">
            <v>2</v>
          </cell>
          <cell r="D1">
            <v>4</v>
          </cell>
          <cell r="E1">
            <v>6</v>
          </cell>
          <cell r="F1">
            <v>8</v>
          </cell>
          <cell r="G1">
            <v>10</v>
          </cell>
          <cell r="H1">
            <v>12</v>
          </cell>
        </row>
        <row r="2">
          <cell r="A2">
            <v>0</v>
          </cell>
          <cell r="B2">
            <v>0.8</v>
          </cell>
          <cell r="C2">
            <v>1.05</v>
          </cell>
          <cell r="D2">
            <v>1</v>
          </cell>
          <cell r="E2">
            <v>0.95</v>
          </cell>
          <cell r="F2">
            <v>0.92</v>
          </cell>
          <cell r="G2">
            <v>0.93</v>
          </cell>
          <cell r="H2">
            <v>1</v>
          </cell>
          <cell r="J2">
            <v>0</v>
          </cell>
          <cell r="K2">
            <v>0.5</v>
          </cell>
          <cell r="L2">
            <v>1</v>
          </cell>
          <cell r="M2">
            <v>2</v>
          </cell>
          <cell r="N2">
            <v>3</v>
          </cell>
          <cell r="O2">
            <v>4</v>
          </cell>
          <cell r="P2">
            <v>5</v>
          </cell>
          <cell r="Q2">
            <v>6</v>
          </cell>
          <cell r="R2">
            <v>7</v>
          </cell>
          <cell r="S2">
            <v>8</v>
          </cell>
          <cell r="T2">
            <v>9</v>
          </cell>
          <cell r="U2">
            <v>10</v>
          </cell>
        </row>
        <row r="3">
          <cell r="J3">
            <v>0.5</v>
          </cell>
          <cell r="K3">
            <v>0.7</v>
          </cell>
          <cell r="L3">
            <v>0.81</v>
          </cell>
          <cell r="M3">
            <v>0.9</v>
          </cell>
          <cell r="N3">
            <v>0.92</v>
          </cell>
          <cell r="O3">
            <v>0.94</v>
          </cell>
          <cell r="P3">
            <v>0.95</v>
          </cell>
          <cell r="Q3">
            <v>0.95499999999999996</v>
          </cell>
          <cell r="R3">
            <v>0.96</v>
          </cell>
          <cell r="S3">
            <v>0.96499999999999997</v>
          </cell>
          <cell r="T3">
            <v>0.97</v>
          </cell>
          <cell r="U3">
            <v>0.97499999999999998</v>
          </cell>
        </row>
        <row r="27">
          <cell r="A27">
            <v>0</v>
          </cell>
          <cell r="B27">
            <v>10</v>
          </cell>
          <cell r="C27">
            <v>20</v>
          </cell>
          <cell r="D27">
            <v>30</v>
          </cell>
          <cell r="E27">
            <v>40</v>
          </cell>
          <cell r="F27">
            <v>50</v>
          </cell>
          <cell r="I27">
            <v>0</v>
          </cell>
          <cell r="J27">
            <v>10</v>
          </cell>
          <cell r="K27">
            <v>20</v>
          </cell>
          <cell r="L27">
            <v>30</v>
          </cell>
          <cell r="M27">
            <v>40</v>
          </cell>
          <cell r="N27">
            <v>50</v>
          </cell>
        </row>
        <row r="28">
          <cell r="A28">
            <v>400</v>
          </cell>
          <cell r="B28">
            <v>480</v>
          </cell>
          <cell r="C28">
            <v>510</v>
          </cell>
          <cell r="D28">
            <v>540</v>
          </cell>
          <cell r="E28">
            <v>560</v>
          </cell>
          <cell r="F28">
            <v>565</v>
          </cell>
          <cell r="I28">
            <v>200</v>
          </cell>
          <cell r="J28">
            <v>250</v>
          </cell>
          <cell r="K28">
            <v>270</v>
          </cell>
          <cell r="L28">
            <v>290</v>
          </cell>
          <cell r="M28">
            <v>300</v>
          </cell>
          <cell r="N28">
            <v>305</v>
          </cell>
        </row>
        <row r="29">
          <cell r="A29">
            <v>600</v>
          </cell>
          <cell r="B29">
            <v>680</v>
          </cell>
          <cell r="C29">
            <v>710</v>
          </cell>
          <cell r="D29">
            <v>740</v>
          </cell>
          <cell r="E29">
            <v>760</v>
          </cell>
          <cell r="F29">
            <v>765</v>
          </cell>
          <cell r="I29">
            <v>300</v>
          </cell>
          <cell r="J29">
            <v>350</v>
          </cell>
          <cell r="K29">
            <v>370</v>
          </cell>
          <cell r="L29">
            <v>400</v>
          </cell>
          <cell r="M29">
            <v>420</v>
          </cell>
          <cell r="N29">
            <v>430</v>
          </cell>
        </row>
        <row r="30">
          <cell r="A30">
            <v>800</v>
          </cell>
          <cell r="B30">
            <v>880</v>
          </cell>
          <cell r="C30">
            <v>915</v>
          </cell>
          <cell r="D30">
            <v>950</v>
          </cell>
          <cell r="E30">
            <v>960</v>
          </cell>
          <cell r="F30">
            <v>955</v>
          </cell>
          <cell r="I30">
            <v>400</v>
          </cell>
          <cell r="J30">
            <v>450</v>
          </cell>
          <cell r="K30">
            <v>480</v>
          </cell>
          <cell r="L30">
            <v>510</v>
          </cell>
          <cell r="M30">
            <v>530</v>
          </cell>
          <cell r="N30">
            <v>540</v>
          </cell>
        </row>
        <row r="31">
          <cell r="A31">
            <v>1000</v>
          </cell>
          <cell r="B31">
            <v>1100</v>
          </cell>
          <cell r="C31">
            <v>1200</v>
          </cell>
          <cell r="D31">
            <v>1245</v>
          </cell>
          <cell r="E31">
            <v>1285</v>
          </cell>
          <cell r="F31">
            <v>1300</v>
          </cell>
          <cell r="I31">
            <v>500</v>
          </cell>
          <cell r="J31">
            <v>575</v>
          </cell>
          <cell r="K31">
            <v>640</v>
          </cell>
          <cell r="L31">
            <v>680</v>
          </cell>
          <cell r="M31">
            <v>720</v>
          </cell>
          <cell r="N31">
            <v>750</v>
          </cell>
        </row>
        <row r="32">
          <cell r="A32">
            <v>1200</v>
          </cell>
          <cell r="B32">
            <v>1300</v>
          </cell>
          <cell r="C32">
            <v>1400</v>
          </cell>
          <cell r="D32">
            <v>1470</v>
          </cell>
          <cell r="E32">
            <v>1500</v>
          </cell>
          <cell r="F32">
            <v>1515</v>
          </cell>
          <cell r="I32">
            <v>600</v>
          </cell>
          <cell r="J32">
            <v>700</v>
          </cell>
          <cell r="K32">
            <v>750</v>
          </cell>
          <cell r="L32">
            <v>800</v>
          </cell>
          <cell r="M32">
            <v>840</v>
          </cell>
          <cell r="N32">
            <v>855</v>
          </cell>
        </row>
        <row r="33">
          <cell r="A33">
            <v>1400</v>
          </cell>
          <cell r="B33">
            <v>1500</v>
          </cell>
          <cell r="C33">
            <v>1600</v>
          </cell>
          <cell r="D33">
            <v>1680</v>
          </cell>
          <cell r="E33">
            <v>1700</v>
          </cell>
          <cell r="F33">
            <v>1695</v>
          </cell>
          <cell r="I33">
            <v>700</v>
          </cell>
          <cell r="J33">
            <v>780</v>
          </cell>
          <cell r="K33">
            <v>840</v>
          </cell>
          <cell r="L33">
            <v>875</v>
          </cell>
          <cell r="M33">
            <v>905</v>
          </cell>
          <cell r="N33">
            <v>935</v>
          </cell>
        </row>
        <row r="34">
          <cell r="A34">
            <v>1600</v>
          </cell>
          <cell r="B34">
            <v>1700</v>
          </cell>
          <cell r="C34">
            <v>1790</v>
          </cell>
          <cell r="D34">
            <v>1850</v>
          </cell>
          <cell r="E34">
            <v>1900</v>
          </cell>
          <cell r="F34">
            <v>1900</v>
          </cell>
          <cell r="I34">
            <v>800</v>
          </cell>
          <cell r="J34">
            <v>880</v>
          </cell>
          <cell r="K34">
            <v>940</v>
          </cell>
          <cell r="L34">
            <v>975</v>
          </cell>
          <cell r="M34">
            <v>1010</v>
          </cell>
          <cell r="N34">
            <v>1045</v>
          </cell>
        </row>
        <row r="35">
          <cell r="A35">
            <v>1800</v>
          </cell>
          <cell r="B35">
            <v>1910</v>
          </cell>
          <cell r="C35">
            <v>2000</v>
          </cell>
          <cell r="D35">
            <v>2070</v>
          </cell>
          <cell r="E35">
            <v>2105</v>
          </cell>
          <cell r="F35">
            <v>2120</v>
          </cell>
          <cell r="I35">
            <v>900</v>
          </cell>
          <cell r="J35">
            <v>980</v>
          </cell>
          <cell r="K35">
            <v>1050</v>
          </cell>
          <cell r="L35">
            <v>1100</v>
          </cell>
          <cell r="M35">
            <v>1140</v>
          </cell>
          <cell r="N35">
            <v>1160</v>
          </cell>
        </row>
        <row r="36">
          <cell r="A36">
            <v>2000</v>
          </cell>
          <cell r="B36">
            <v>2100</v>
          </cell>
          <cell r="C36">
            <v>2180</v>
          </cell>
          <cell r="D36">
            <v>2240</v>
          </cell>
          <cell r="E36">
            <v>2285</v>
          </cell>
          <cell r="F36">
            <v>2300</v>
          </cell>
          <cell r="I36">
            <v>1000</v>
          </cell>
          <cell r="J36">
            <v>1080</v>
          </cell>
          <cell r="K36">
            <v>1140</v>
          </cell>
          <cell r="L36">
            <v>1200</v>
          </cell>
          <cell r="M36">
            <v>1240</v>
          </cell>
          <cell r="N36">
            <v>1260</v>
          </cell>
        </row>
        <row r="37">
          <cell r="I37">
            <v>100</v>
          </cell>
          <cell r="J37">
            <v>140</v>
          </cell>
          <cell r="K37">
            <v>170</v>
          </cell>
          <cell r="L37">
            <v>185</v>
          </cell>
          <cell r="M37">
            <v>200</v>
          </cell>
          <cell r="N37">
            <v>210</v>
          </cell>
        </row>
      </sheetData>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28"/>
  <sheetViews>
    <sheetView topLeftCell="C172" workbookViewId="0">
      <selection activeCell="Q200" sqref="Q200"/>
    </sheetView>
  </sheetViews>
  <sheetFormatPr defaultRowHeight="15.6" x14ac:dyDescent="0.3"/>
  <cols>
    <col min="2" max="2" width="9.8984375" bestFit="1" customWidth="1"/>
    <col min="3" max="3" width="17.19921875" customWidth="1"/>
    <col min="5" max="5" width="9.5" customWidth="1"/>
    <col min="6" max="6" width="24.19921875" customWidth="1"/>
    <col min="7" max="7" width="8" customWidth="1"/>
    <col min="12" max="12" width="9.8984375" bestFit="1" customWidth="1"/>
    <col min="13" max="13" width="12.09765625" bestFit="1" customWidth="1"/>
    <col min="17" max="17" width="12.09765625" bestFit="1" customWidth="1"/>
  </cols>
  <sheetData>
    <row r="1" spans="1:22" ht="21" x14ac:dyDescent="0.4">
      <c r="A1" s="260" t="s">
        <v>403</v>
      </c>
      <c r="B1" s="261">
        <f>Sheet3!L89</f>
        <v>2.4500000000000002</v>
      </c>
      <c r="C1" s="262" t="s">
        <v>20</v>
      </c>
      <c r="D1" s="263" t="s">
        <v>404</v>
      </c>
      <c r="E1" s="264">
        <f>Sheet3!K56</f>
        <v>0.56000000000000005</v>
      </c>
      <c r="F1" s="265" t="s">
        <v>166</v>
      </c>
      <c r="G1" s="266" t="s">
        <v>405</v>
      </c>
      <c r="H1" s="267">
        <f>Sheet3!K55</f>
        <v>0</v>
      </c>
      <c r="I1" s="392" t="s">
        <v>64</v>
      </c>
      <c r="J1" s="393"/>
      <c r="K1" s="268" t="s">
        <v>406</v>
      </c>
      <c r="L1" s="269">
        <v>50</v>
      </c>
      <c r="M1" s="417" t="s">
        <v>121</v>
      </c>
      <c r="N1" s="418"/>
      <c r="O1" s="59" t="s">
        <v>156</v>
      </c>
      <c r="P1" s="57">
        <v>20</v>
      </c>
      <c r="Q1" s="58" t="s">
        <v>122</v>
      </c>
    </row>
    <row r="2" spans="1:22" ht="21" x14ac:dyDescent="0.4">
      <c r="A2" s="270" t="s">
        <v>407</v>
      </c>
      <c r="B2" s="271">
        <f>Sheet3!N89</f>
        <v>3</v>
      </c>
      <c r="C2" s="272" t="s">
        <v>21</v>
      </c>
      <c r="D2" s="273" t="s">
        <v>408</v>
      </c>
      <c r="E2" s="267">
        <f>Sheet3!K54</f>
        <v>0</v>
      </c>
      <c r="F2" s="274" t="s">
        <v>165</v>
      </c>
      <c r="G2" s="266" t="s">
        <v>63</v>
      </c>
      <c r="H2" s="267">
        <f>L2</f>
        <v>5</v>
      </c>
      <c r="I2" s="394" t="s">
        <v>167</v>
      </c>
      <c r="J2" s="395"/>
      <c r="K2" s="266" t="s">
        <v>63</v>
      </c>
      <c r="L2" s="267">
        <v>5</v>
      </c>
      <c r="M2" s="394" t="s">
        <v>147</v>
      </c>
      <c r="N2" s="401"/>
    </row>
    <row r="3" spans="1:22" ht="21" x14ac:dyDescent="0.4">
      <c r="A3" s="270" t="s">
        <v>409</v>
      </c>
      <c r="B3" s="271">
        <f>Sheet3!P89</f>
        <v>1</v>
      </c>
      <c r="C3" s="272" t="s">
        <v>22</v>
      </c>
      <c r="D3" s="192" t="s">
        <v>410</v>
      </c>
      <c r="E3" s="267">
        <f>Sheet3!Q94</f>
        <v>0</v>
      </c>
      <c r="F3" s="274" t="s">
        <v>111</v>
      </c>
      <c r="G3" s="266" t="s">
        <v>411</v>
      </c>
      <c r="H3" s="267">
        <f>L3</f>
        <v>3</v>
      </c>
      <c r="I3" s="394" t="s">
        <v>167</v>
      </c>
      <c r="J3" s="395"/>
      <c r="K3" s="266" t="s">
        <v>411</v>
      </c>
      <c r="L3" s="267">
        <v>3</v>
      </c>
      <c r="M3" s="394" t="s">
        <v>147</v>
      </c>
      <c r="N3" s="401"/>
      <c r="P3" s="416" t="s">
        <v>393</v>
      </c>
      <c r="Q3" s="416"/>
      <c r="R3" s="416"/>
    </row>
    <row r="4" spans="1:22" ht="17.399999999999999" x14ac:dyDescent="0.3">
      <c r="A4" s="270" t="s">
        <v>0</v>
      </c>
      <c r="B4" s="271">
        <f>Sheet3!E23</f>
        <v>547</v>
      </c>
      <c r="C4" s="272" t="s">
        <v>3</v>
      </c>
      <c r="D4" s="192" t="s">
        <v>412</v>
      </c>
      <c r="E4" s="267">
        <f>Sheet3!N94</f>
        <v>0</v>
      </c>
      <c r="F4" s="274" t="s">
        <v>112</v>
      </c>
      <c r="G4" s="275" t="s">
        <v>413</v>
      </c>
      <c r="H4" s="33">
        <f>Sheet3!I121</f>
        <v>1E-3</v>
      </c>
      <c r="I4" s="412" t="s">
        <v>66</v>
      </c>
      <c r="J4" s="413"/>
      <c r="K4" s="276" t="s">
        <v>150</v>
      </c>
      <c r="L4" s="33">
        <f>H4</f>
        <v>1E-3</v>
      </c>
      <c r="M4" s="412" t="s">
        <v>149</v>
      </c>
      <c r="N4" s="415"/>
      <c r="O4" s="409" t="s">
        <v>396</v>
      </c>
      <c r="P4" s="410"/>
      <c r="Q4" s="410"/>
      <c r="R4" s="410"/>
      <c r="S4" s="410"/>
      <c r="T4" s="410"/>
    </row>
    <row r="5" spans="1:22" ht="21" x14ac:dyDescent="0.4">
      <c r="A5" s="270" t="s">
        <v>414</v>
      </c>
      <c r="B5" s="271">
        <f>Sheet3!G23</f>
        <v>1.37</v>
      </c>
      <c r="C5" s="272" t="s">
        <v>23</v>
      </c>
      <c r="D5" s="192" t="s">
        <v>2</v>
      </c>
      <c r="E5" s="267">
        <f>Sheet3!M23</f>
        <v>270</v>
      </c>
      <c r="F5" s="274" t="s">
        <v>19</v>
      </c>
      <c r="G5" s="275" t="s">
        <v>415</v>
      </c>
      <c r="H5" s="33">
        <f>Sheet3!M121</f>
        <v>6.0000000000000001E-3</v>
      </c>
      <c r="I5" s="412" t="s">
        <v>66</v>
      </c>
      <c r="J5" s="413"/>
      <c r="K5" s="276" t="s">
        <v>151</v>
      </c>
      <c r="L5" s="33">
        <f>H5</f>
        <v>6.0000000000000001E-3</v>
      </c>
      <c r="M5" s="412" t="s">
        <v>149</v>
      </c>
      <c r="N5" s="415"/>
    </row>
    <row r="6" spans="1:22" ht="21" x14ac:dyDescent="0.4">
      <c r="A6" s="277" t="s">
        <v>416</v>
      </c>
      <c r="B6" s="271">
        <f>Sheet3!I23</f>
        <v>2.8</v>
      </c>
      <c r="C6" s="272" t="s">
        <v>4</v>
      </c>
      <c r="D6" s="278" t="s">
        <v>417</v>
      </c>
      <c r="E6" s="279">
        <f>Sheet3!B89</f>
        <v>0</v>
      </c>
      <c r="F6" s="274" t="s">
        <v>18</v>
      </c>
      <c r="G6" s="275" t="s">
        <v>65</v>
      </c>
      <c r="H6" s="33">
        <f>Sheet3!C116</f>
        <v>1</v>
      </c>
      <c r="I6" s="412" t="s">
        <v>66</v>
      </c>
      <c r="J6" s="413"/>
      <c r="K6" s="275" t="s">
        <v>65</v>
      </c>
      <c r="L6" s="33">
        <f>H6</f>
        <v>1</v>
      </c>
      <c r="M6" s="412" t="s">
        <v>149</v>
      </c>
      <c r="N6" s="415"/>
    </row>
    <row r="7" spans="1:22" ht="21.6" thickBot="1" x14ac:dyDescent="0.45">
      <c r="A7" s="277" t="s">
        <v>418</v>
      </c>
      <c r="B7" s="271">
        <f>Sheet3!F23</f>
        <v>2.46</v>
      </c>
      <c r="C7" s="272" t="s">
        <v>24</v>
      </c>
      <c r="D7" s="273" t="s">
        <v>43</v>
      </c>
      <c r="E7" s="279">
        <f>Sheet3!C32</f>
        <v>600</v>
      </c>
      <c r="F7" s="274" t="s">
        <v>17</v>
      </c>
      <c r="G7" s="268" t="s">
        <v>419</v>
      </c>
      <c r="H7" s="269">
        <f>L7</f>
        <v>600</v>
      </c>
      <c r="I7" s="455" t="s">
        <v>153</v>
      </c>
      <c r="J7" s="456"/>
      <c r="K7" s="268" t="s">
        <v>420</v>
      </c>
      <c r="L7" s="269">
        <f>Sheet3!F68</f>
        <v>600</v>
      </c>
      <c r="M7" s="402" t="s">
        <v>154</v>
      </c>
      <c r="N7" s="403"/>
    </row>
    <row r="8" spans="1:22" ht="21.6" thickBot="1" x14ac:dyDescent="0.45">
      <c r="A8" s="277" t="s">
        <v>421</v>
      </c>
      <c r="B8" s="271">
        <f>Sheet3!K23</f>
        <v>1</v>
      </c>
      <c r="C8" s="272" t="s">
        <v>5</v>
      </c>
      <c r="D8" s="273" t="s">
        <v>7</v>
      </c>
      <c r="E8" s="279">
        <f>Sheet3!F32</f>
        <v>30</v>
      </c>
      <c r="F8" s="274" t="s">
        <v>16</v>
      </c>
      <c r="G8" s="268" t="s">
        <v>422</v>
      </c>
      <c r="H8" s="280">
        <f>L8</f>
        <v>2</v>
      </c>
      <c r="I8" s="281" t="s">
        <v>423</v>
      </c>
      <c r="J8" s="282">
        <f>H7/H8</f>
        <v>300</v>
      </c>
      <c r="K8" s="283" t="s">
        <v>424</v>
      </c>
      <c r="L8" s="269">
        <f>Sheet3!I68</f>
        <v>2</v>
      </c>
      <c r="M8" s="269" t="s">
        <v>425</v>
      </c>
      <c r="N8" s="284">
        <f>L7/L8</f>
        <v>300</v>
      </c>
    </row>
    <row r="9" spans="1:22" ht="21" x14ac:dyDescent="0.4">
      <c r="A9" s="277" t="s">
        <v>426</v>
      </c>
      <c r="B9" s="271">
        <f>Sheet3!H89</f>
        <v>0.15</v>
      </c>
      <c r="C9" s="285" t="s">
        <v>25</v>
      </c>
      <c r="D9" s="192" t="s">
        <v>427</v>
      </c>
      <c r="E9" s="279">
        <v>1.25</v>
      </c>
      <c r="F9" s="274" t="s">
        <v>9</v>
      </c>
      <c r="G9" s="286" t="s">
        <v>428</v>
      </c>
      <c r="H9" s="287">
        <f>Sheet3!K135</f>
        <v>680</v>
      </c>
      <c r="I9" s="427" t="s">
        <v>89</v>
      </c>
      <c r="J9" s="428"/>
      <c r="K9" s="286" t="s">
        <v>429</v>
      </c>
      <c r="L9" s="287">
        <f>H9</f>
        <v>680</v>
      </c>
      <c r="M9" s="429" t="s">
        <v>152</v>
      </c>
      <c r="N9" s="415"/>
    </row>
    <row r="10" spans="1:22" ht="21" x14ac:dyDescent="0.4">
      <c r="A10" s="277" t="s">
        <v>430</v>
      </c>
      <c r="B10" s="271">
        <v>0.3</v>
      </c>
      <c r="C10" s="285" t="s">
        <v>26</v>
      </c>
      <c r="D10" s="192" t="s">
        <v>431</v>
      </c>
      <c r="E10" s="279">
        <f>Sheet3!I54</f>
        <v>0</v>
      </c>
      <c r="F10" s="274" t="s">
        <v>372</v>
      </c>
      <c r="G10" s="286" t="s">
        <v>432</v>
      </c>
      <c r="H10" s="287">
        <f>Sheet3!K163</f>
        <v>350</v>
      </c>
      <c r="I10" s="429" t="s">
        <v>89</v>
      </c>
      <c r="J10" s="413"/>
      <c r="K10" s="286" t="s">
        <v>433</v>
      </c>
      <c r="L10" s="287">
        <f>H10</f>
        <v>350</v>
      </c>
      <c r="M10" s="429" t="s">
        <v>152</v>
      </c>
      <c r="N10" s="415"/>
    </row>
    <row r="11" spans="1:22" ht="21" x14ac:dyDescent="0.4">
      <c r="A11" s="277" t="s">
        <v>434</v>
      </c>
      <c r="B11" s="271">
        <f>Sheet3!F89</f>
        <v>0.15</v>
      </c>
      <c r="C11" s="272" t="s">
        <v>27</v>
      </c>
      <c r="D11" s="192" t="s">
        <v>435</v>
      </c>
      <c r="E11" s="279">
        <f>Sheet3!H23</f>
        <v>0.48</v>
      </c>
      <c r="F11" s="274" t="s">
        <v>15</v>
      </c>
      <c r="G11" s="268" t="s">
        <v>1</v>
      </c>
      <c r="H11" s="269">
        <f>Sheet3!Q79</f>
        <v>2100000</v>
      </c>
      <c r="I11" s="393" t="s">
        <v>168</v>
      </c>
      <c r="J11" s="454"/>
      <c r="K11" s="266" t="s">
        <v>155</v>
      </c>
      <c r="L11" s="267">
        <f>Sheet3!J68</f>
        <v>0.55000000000000004</v>
      </c>
      <c r="M11" s="394" t="s">
        <v>169</v>
      </c>
      <c r="N11" s="401"/>
    </row>
    <row r="12" spans="1:22" ht="21" x14ac:dyDescent="0.4">
      <c r="A12" s="277" t="s">
        <v>436</v>
      </c>
      <c r="B12" s="271">
        <f>Sheet3!J89</f>
        <v>0.15</v>
      </c>
      <c r="C12" s="272" t="s">
        <v>28</v>
      </c>
      <c r="D12" s="192" t="s">
        <v>437</v>
      </c>
      <c r="E12" s="279">
        <f>Sheet3!M29</f>
        <v>1.639</v>
      </c>
      <c r="F12" s="288" t="s">
        <v>30</v>
      </c>
      <c r="G12" s="268" t="s">
        <v>98</v>
      </c>
      <c r="H12" s="269">
        <v>8.0000000000000002E-3</v>
      </c>
      <c r="I12" s="440" t="s">
        <v>164</v>
      </c>
      <c r="J12" s="441"/>
      <c r="K12" s="267" t="s">
        <v>438</v>
      </c>
      <c r="L12" s="267">
        <f>Sheet3!D69</f>
        <v>0</v>
      </c>
      <c r="M12" s="394" t="s">
        <v>262</v>
      </c>
      <c r="N12" s="401"/>
    </row>
    <row r="13" spans="1:22" ht="21.6" thickBot="1" x14ac:dyDescent="0.45">
      <c r="A13" s="277" t="s">
        <v>439</v>
      </c>
      <c r="B13" s="271">
        <f>Sheet3!G56</f>
        <v>1.5E-6</v>
      </c>
      <c r="C13" s="272" t="s">
        <v>6</v>
      </c>
      <c r="D13" s="192" t="s">
        <v>440</v>
      </c>
      <c r="E13" s="279"/>
      <c r="F13" s="288" t="s">
        <v>35</v>
      </c>
      <c r="G13" s="289" t="s">
        <v>102</v>
      </c>
      <c r="H13" s="269">
        <v>1</v>
      </c>
      <c r="I13" s="442" t="s">
        <v>103</v>
      </c>
      <c r="J13" s="440"/>
      <c r="K13" s="267" t="s">
        <v>438</v>
      </c>
      <c r="L13" s="267">
        <f>Sheet3!D68</f>
        <v>180</v>
      </c>
      <c r="M13" s="404" t="s">
        <v>263</v>
      </c>
      <c r="N13" s="405"/>
    </row>
    <row r="14" spans="1:22" ht="21.6" thickBot="1" x14ac:dyDescent="0.45">
      <c r="A14" s="277" t="s">
        <v>441</v>
      </c>
      <c r="B14" s="271">
        <f>Sheet3!G57</f>
        <v>0</v>
      </c>
      <c r="C14" s="272" t="s">
        <v>371</v>
      </c>
      <c r="D14" s="263" t="s">
        <v>442</v>
      </c>
      <c r="E14" s="279"/>
      <c r="F14" s="288" t="s">
        <v>36</v>
      </c>
      <c r="G14" s="268" t="s">
        <v>443</v>
      </c>
      <c r="H14" s="269">
        <f>Sheet3!O79</f>
        <v>4000</v>
      </c>
      <c r="I14" s="442" t="s">
        <v>106</v>
      </c>
      <c r="J14" s="443"/>
      <c r="K14" s="277" t="s">
        <v>452</v>
      </c>
      <c r="L14" s="290">
        <f>Sheet3!G94</f>
        <v>9.5</v>
      </c>
      <c r="M14" s="406" t="s">
        <v>453</v>
      </c>
      <c r="N14" s="407"/>
      <c r="T14" s="411"/>
      <c r="U14" s="411"/>
      <c r="V14" s="411"/>
    </row>
    <row r="15" spans="1:22" ht="21" x14ac:dyDescent="0.4">
      <c r="A15" s="277" t="s">
        <v>444</v>
      </c>
      <c r="B15" s="271">
        <f>Sheet3!R94</f>
        <v>2500</v>
      </c>
      <c r="C15" s="272" t="s">
        <v>29</v>
      </c>
      <c r="D15" s="192" t="s">
        <v>373</v>
      </c>
      <c r="E15" s="279">
        <v>1.1000000000000001</v>
      </c>
      <c r="F15" s="274" t="s">
        <v>37</v>
      </c>
      <c r="G15" s="268" t="s">
        <v>445</v>
      </c>
      <c r="H15" s="269">
        <f>Sheet3!F77</f>
        <v>200</v>
      </c>
      <c r="I15" s="442" t="s">
        <v>107</v>
      </c>
      <c r="J15" s="443"/>
      <c r="K15" s="291"/>
      <c r="L15" s="291"/>
      <c r="M15" s="291"/>
      <c r="N15" s="291"/>
    </row>
    <row r="16" spans="1:22" ht="21.6" thickBot="1" x14ac:dyDescent="0.45">
      <c r="A16" s="277" t="s">
        <v>446</v>
      </c>
      <c r="B16" s="271">
        <f>Sheet3!P94</f>
        <v>2000</v>
      </c>
      <c r="C16" s="272" t="s">
        <v>110</v>
      </c>
      <c r="D16" s="292" t="s">
        <v>447</v>
      </c>
      <c r="E16" s="293">
        <v>1.65</v>
      </c>
      <c r="F16" s="294" t="s">
        <v>38</v>
      </c>
      <c r="G16" s="275" t="s">
        <v>448</v>
      </c>
      <c r="H16" s="33">
        <f>Sheet3!F109</f>
        <v>0.55000000000000004</v>
      </c>
      <c r="I16" s="396" t="s">
        <v>67</v>
      </c>
      <c r="J16" s="396"/>
      <c r="K16" s="396"/>
      <c r="L16" s="396"/>
      <c r="M16" s="291"/>
      <c r="N16" s="291"/>
    </row>
    <row r="17" spans="1:19" ht="21.6" thickBot="1" x14ac:dyDescent="0.45">
      <c r="A17" s="430" t="s">
        <v>8</v>
      </c>
      <c r="B17" s="431"/>
      <c r="C17" s="431"/>
      <c r="D17" s="431"/>
      <c r="E17" s="431"/>
      <c r="F17" s="431"/>
      <c r="G17" s="286" t="s">
        <v>449</v>
      </c>
      <c r="H17" s="33">
        <f>Sheet3!E194</f>
        <v>1.18</v>
      </c>
      <c r="I17" s="287" t="s">
        <v>170</v>
      </c>
      <c r="J17" s="286" t="s">
        <v>449</v>
      </c>
      <c r="K17" s="33">
        <f>H17</f>
        <v>1.18</v>
      </c>
      <c r="L17" s="33" t="s">
        <v>172</v>
      </c>
      <c r="M17" s="291"/>
      <c r="N17" s="291"/>
    </row>
    <row r="18" spans="1:19" ht="21" x14ac:dyDescent="0.4">
      <c r="A18" s="295"/>
      <c r="B18" s="291"/>
      <c r="C18" s="291"/>
      <c r="D18" s="291"/>
      <c r="E18" s="291"/>
      <c r="F18" s="291"/>
      <c r="G18" s="286" t="s">
        <v>450</v>
      </c>
      <c r="H18" s="33">
        <f>Sheet3!E192</f>
        <v>1.18</v>
      </c>
      <c r="I18" s="287" t="s">
        <v>171</v>
      </c>
      <c r="J18" s="286" t="s">
        <v>450</v>
      </c>
      <c r="K18" s="33">
        <f>H18</f>
        <v>1.18</v>
      </c>
      <c r="L18" s="33" t="s">
        <v>173</v>
      </c>
      <c r="M18" s="291"/>
      <c r="N18" s="291"/>
    </row>
    <row r="19" spans="1:19" ht="21" x14ac:dyDescent="0.4">
      <c r="A19" s="295"/>
      <c r="B19" s="291"/>
      <c r="C19" s="291"/>
      <c r="D19" s="291"/>
      <c r="E19" s="291"/>
      <c r="F19" s="291"/>
      <c r="G19" s="266"/>
      <c r="H19" s="267"/>
      <c r="I19" s="279"/>
      <c r="J19" s="291"/>
      <c r="K19" s="291"/>
      <c r="L19" s="291"/>
      <c r="M19" s="291"/>
      <c r="N19" s="291"/>
    </row>
    <row r="20" spans="1:19" ht="21" x14ac:dyDescent="0.4">
      <c r="A20" s="295"/>
      <c r="B20" s="291"/>
      <c r="C20" s="291"/>
      <c r="D20" s="291"/>
      <c r="E20" s="291"/>
      <c r="F20" s="291"/>
      <c r="G20" s="266"/>
      <c r="H20" s="267"/>
      <c r="I20" s="279"/>
      <c r="J20" s="291"/>
      <c r="K20" s="291"/>
      <c r="L20" s="291"/>
      <c r="M20" s="291"/>
      <c r="N20" s="291"/>
    </row>
    <row r="21" spans="1:19" x14ac:dyDescent="0.3">
      <c r="A21" s="291"/>
      <c r="B21" s="291"/>
      <c r="C21" s="291"/>
      <c r="D21" s="291"/>
      <c r="E21" s="291"/>
      <c r="F21" s="291"/>
      <c r="G21" s="268" t="s">
        <v>451</v>
      </c>
      <c r="H21" s="296">
        <f>Sheet3!M84</f>
        <v>32.174999999999997</v>
      </c>
      <c r="I21" s="297" t="s">
        <v>124</v>
      </c>
      <c r="J21" s="291"/>
      <c r="K21" s="291"/>
      <c r="L21" s="291"/>
      <c r="M21" s="291"/>
      <c r="N21" s="291"/>
    </row>
    <row r="22" spans="1:19" x14ac:dyDescent="0.3">
      <c r="A22" s="291"/>
      <c r="B22" s="291"/>
      <c r="C22" s="291"/>
      <c r="D22" s="291"/>
      <c r="E22" s="291"/>
      <c r="F22" s="291"/>
      <c r="G22" s="275" t="s">
        <v>158</v>
      </c>
      <c r="H22" s="33">
        <f>Sheet3!L208</f>
        <v>0.86</v>
      </c>
      <c r="I22" s="414" t="s">
        <v>125</v>
      </c>
      <c r="J22" s="414"/>
      <c r="K22" s="414"/>
      <c r="L22" s="414"/>
      <c r="M22" s="291"/>
      <c r="N22" s="291"/>
    </row>
    <row r="23" spans="1:19" x14ac:dyDescent="0.3">
      <c r="A23" s="291"/>
      <c r="B23" s="291"/>
      <c r="C23" s="291"/>
      <c r="D23" s="291"/>
      <c r="E23" s="291"/>
      <c r="F23" s="291"/>
      <c r="G23" s="275" t="s">
        <v>161</v>
      </c>
      <c r="H23" s="33">
        <f>Sheet3!K229</f>
        <v>0</v>
      </c>
      <c r="I23" s="432" t="s">
        <v>132</v>
      </c>
      <c r="J23" s="433"/>
      <c r="K23" s="433"/>
      <c r="L23" s="434"/>
      <c r="M23" s="291"/>
      <c r="N23" s="291"/>
    </row>
    <row r="24" spans="1:19" x14ac:dyDescent="0.3">
      <c r="A24" s="291"/>
      <c r="B24" s="291"/>
      <c r="C24" s="291"/>
      <c r="D24" s="291"/>
      <c r="E24" s="291"/>
      <c r="F24" s="291"/>
      <c r="G24" s="275" t="s">
        <v>448</v>
      </c>
      <c r="H24" s="33">
        <f>H16</f>
        <v>0.55000000000000004</v>
      </c>
      <c r="I24" s="396" t="s">
        <v>148</v>
      </c>
      <c r="J24" s="396"/>
      <c r="K24" s="396"/>
      <c r="L24" s="396"/>
      <c r="M24" s="291"/>
      <c r="N24" s="291"/>
    </row>
    <row r="25" spans="1:19" x14ac:dyDescent="0.3">
      <c r="A25" s="291"/>
      <c r="B25" s="291"/>
      <c r="C25" s="291"/>
      <c r="D25" s="291"/>
      <c r="E25" s="291"/>
      <c r="F25" s="291"/>
      <c r="G25" s="275" t="s">
        <v>159</v>
      </c>
      <c r="H25" s="33">
        <f>H22</f>
        <v>0.86</v>
      </c>
      <c r="I25" s="414" t="s">
        <v>160</v>
      </c>
      <c r="J25" s="414"/>
      <c r="K25" s="414"/>
      <c r="L25" s="414"/>
      <c r="M25" s="291"/>
      <c r="N25" s="291"/>
    </row>
    <row r="26" spans="1:19" x14ac:dyDescent="0.3">
      <c r="A26" s="291"/>
      <c r="B26" s="291"/>
      <c r="C26" s="291"/>
      <c r="D26" s="291"/>
      <c r="E26" s="291"/>
      <c r="F26" s="291"/>
      <c r="G26" s="275" t="s">
        <v>162</v>
      </c>
      <c r="H26" s="33">
        <f>H23</f>
        <v>0</v>
      </c>
      <c r="I26" s="432" t="s">
        <v>163</v>
      </c>
      <c r="J26" s="433"/>
      <c r="K26" s="433"/>
      <c r="L26" s="434"/>
      <c r="M26" s="291"/>
      <c r="N26" s="291"/>
    </row>
    <row r="32" spans="1:19" x14ac:dyDescent="0.3">
      <c r="S32" s="16"/>
    </row>
    <row r="33" spans="1:19" ht="16.2" thickBot="1" x14ac:dyDescent="0.35">
      <c r="S33" s="16"/>
    </row>
    <row r="34" spans="1:19" ht="16.2" thickBot="1" x14ac:dyDescent="0.35">
      <c r="K34" s="398" t="s">
        <v>11</v>
      </c>
      <c r="L34" s="399"/>
      <c r="M34" s="399"/>
      <c r="N34" s="399"/>
      <c r="O34" s="400"/>
      <c r="P34" s="5">
        <v>1</v>
      </c>
      <c r="S34" s="16"/>
    </row>
    <row r="35" spans="1:19" ht="16.2" thickBot="1" x14ac:dyDescent="0.35">
      <c r="S35" s="16"/>
    </row>
    <row r="36" spans="1:19" ht="16.2" thickBot="1" x14ac:dyDescent="0.35">
      <c r="K36" s="398" t="s">
        <v>397</v>
      </c>
      <c r="L36" s="399"/>
      <c r="M36" s="399"/>
      <c r="N36" s="399"/>
      <c r="O36" s="400"/>
      <c r="P36" s="2">
        <v>2</v>
      </c>
      <c r="S36" s="16"/>
    </row>
    <row r="37" spans="1:19" x14ac:dyDescent="0.3">
      <c r="D37" s="381"/>
      <c r="E37" s="381"/>
      <c r="S37" s="16"/>
    </row>
    <row r="38" spans="1:19" ht="20.399999999999999" x14ac:dyDescent="0.35">
      <c r="B38" s="3"/>
      <c r="C38" s="4" t="s">
        <v>10</v>
      </c>
      <c r="D38" s="4"/>
      <c r="E38" s="435"/>
      <c r="F38" s="435"/>
      <c r="G38" s="4"/>
      <c r="H38" s="4"/>
      <c r="I38" s="4"/>
      <c r="J38" s="4"/>
      <c r="K38" s="408"/>
      <c r="L38" s="408"/>
      <c r="M38" s="408"/>
      <c r="N38" s="408"/>
      <c r="O38" s="408"/>
      <c r="P38" s="408"/>
      <c r="S38" s="16"/>
    </row>
    <row r="39" spans="1:19" ht="18" x14ac:dyDescent="0.35">
      <c r="D39" s="39" t="s">
        <v>368</v>
      </c>
      <c r="E39" s="25">
        <f>E40*E41*B13*(B4/(E11)^2)*E7*COS((E8)*(3.14/180))</f>
        <v>2.1523623895545723</v>
      </c>
      <c r="F39" s="19" t="s">
        <v>468</v>
      </c>
      <c r="G39" s="18"/>
      <c r="H39" s="20"/>
      <c r="I39" s="381"/>
      <c r="J39" s="381"/>
      <c r="K39" s="381"/>
      <c r="L39" s="381"/>
      <c r="M39" s="381"/>
      <c r="N39" s="381"/>
      <c r="O39" s="381"/>
      <c r="P39" s="381"/>
      <c r="S39" s="16"/>
    </row>
    <row r="40" spans="1:19" ht="16.2" thickBot="1" x14ac:dyDescent="0.35">
      <c r="E40" s="133">
        <f>0.5+0.4*((B8)^0.666)</f>
        <v>0.9</v>
      </c>
      <c r="F40" s="211" t="s">
        <v>39</v>
      </c>
      <c r="S40" s="16"/>
    </row>
    <row r="41" spans="1:19" ht="16.2" thickBot="1" x14ac:dyDescent="0.35">
      <c r="E41" s="25">
        <f>2.8*((E11)^0.333)-1.3*((E11)^0.5)</f>
        <v>1.2921958912758353</v>
      </c>
      <c r="F41" s="436" t="s">
        <v>40</v>
      </c>
      <c r="G41" s="437"/>
      <c r="H41" s="424"/>
      <c r="I41" s="425"/>
      <c r="J41" s="422"/>
      <c r="K41" s="422"/>
      <c r="L41" s="423"/>
      <c r="M41" s="6"/>
      <c r="N41" s="15"/>
      <c r="S41" s="16"/>
    </row>
    <row r="42" spans="1:19" ht="16.2" thickBot="1" x14ac:dyDescent="0.35">
      <c r="E42" s="30">
        <f>(3.5-(B8))</f>
        <v>2.5</v>
      </c>
      <c r="F42" s="18" t="s">
        <v>391</v>
      </c>
      <c r="S42" s="16"/>
    </row>
    <row r="43" spans="1:19" ht="16.2" thickBot="1" x14ac:dyDescent="0.35">
      <c r="C43" s="426" t="s">
        <v>12</v>
      </c>
      <c r="D43" s="426"/>
      <c r="E43" s="426"/>
      <c r="F43" s="426"/>
      <c r="G43" s="426"/>
      <c r="H43" s="424"/>
      <c r="I43" s="425"/>
      <c r="J43" s="422"/>
      <c r="K43" s="422"/>
      <c r="L43" s="423"/>
      <c r="N43" s="15"/>
      <c r="S43" s="16"/>
    </row>
    <row r="44" spans="1:19" ht="16.2" thickBot="1" x14ac:dyDescent="0.35">
      <c r="B44" s="419" t="s">
        <v>31</v>
      </c>
      <c r="C44" s="419"/>
      <c r="D44" s="12">
        <f>0.95*E12*E5</f>
        <v>420.40350000000001</v>
      </c>
      <c r="F44" s="8" t="s">
        <v>13</v>
      </c>
      <c r="G44">
        <f>D44/G46</f>
        <v>329.26339285714295</v>
      </c>
      <c r="S44" s="16"/>
    </row>
    <row r="45" spans="1:19" ht="21.6" thickBot="1" x14ac:dyDescent="0.45">
      <c r="A45" s="10" t="s">
        <v>33</v>
      </c>
      <c r="B45" s="9"/>
      <c r="C45" s="9"/>
      <c r="D45" s="9"/>
      <c r="E45" s="9"/>
      <c r="F45" s="11"/>
      <c r="L45" s="420" t="s">
        <v>392</v>
      </c>
      <c r="M45" s="421"/>
      <c r="N45" s="14">
        <f>0.5*B5*COS((0.5*E8+0.5*E8*E42)*3.14/180)</f>
        <v>0.41725397804326481</v>
      </c>
      <c r="O45" t="s">
        <v>34</v>
      </c>
      <c r="S45" s="16"/>
    </row>
    <row r="46" spans="1:19" x14ac:dyDescent="0.3">
      <c r="F46" t="s">
        <v>14</v>
      </c>
      <c r="G46" s="1">
        <f>0.95*E11*B6</f>
        <v>1.2767999999999997</v>
      </c>
      <c r="H46" t="s">
        <v>34</v>
      </c>
      <c r="S46" s="16"/>
    </row>
    <row r="47" spans="1:19" x14ac:dyDescent="0.3">
      <c r="S47" s="16"/>
    </row>
    <row r="48" spans="1:19" ht="21" thickBot="1" x14ac:dyDescent="0.4">
      <c r="C48" s="420" t="s">
        <v>32</v>
      </c>
      <c r="D48" s="421"/>
      <c r="E48" s="421"/>
      <c r="F48" s="421"/>
      <c r="G48" s="421"/>
      <c r="H48" s="421"/>
      <c r="I48" s="421"/>
      <c r="J48" s="421"/>
      <c r="K48" s="421"/>
      <c r="L48" s="421"/>
      <c r="M48" s="421"/>
      <c r="N48" s="421"/>
      <c r="O48" s="421"/>
      <c r="S48" s="16"/>
    </row>
    <row r="49" spans="2:19" ht="16.2" thickBot="1" x14ac:dyDescent="0.35">
      <c r="E49" s="13">
        <f>1.65</f>
        <v>1.65</v>
      </c>
      <c r="S49" s="16"/>
    </row>
    <row r="50" spans="2:19" x14ac:dyDescent="0.3">
      <c r="S50" s="16"/>
    </row>
    <row r="51" spans="2:19" x14ac:dyDescent="0.3">
      <c r="B51" s="16"/>
      <c r="C51" s="16"/>
      <c r="D51" s="16"/>
      <c r="E51" s="16"/>
      <c r="F51" s="16"/>
      <c r="G51" s="16"/>
      <c r="H51" s="16"/>
      <c r="I51" s="16"/>
      <c r="J51" s="16"/>
      <c r="K51" s="16"/>
      <c r="L51" s="16"/>
      <c r="M51" s="16"/>
      <c r="N51" s="16"/>
      <c r="O51" s="16"/>
      <c r="P51" s="16"/>
      <c r="Q51" s="16"/>
      <c r="S51" s="16"/>
    </row>
    <row r="52" spans="2:19" x14ac:dyDescent="0.3">
      <c r="F52" s="7"/>
      <c r="S52" s="16"/>
    </row>
    <row r="53" spans="2:19" x14ac:dyDescent="0.3">
      <c r="N53" s="39"/>
      <c r="O53" s="252"/>
      <c r="P53" s="39"/>
      <c r="Q53" s="12"/>
      <c r="S53" s="16"/>
    </row>
    <row r="54" spans="2:19" x14ac:dyDescent="0.3">
      <c r="S54" s="16"/>
    </row>
    <row r="55" spans="2:19" ht="17.399999999999999" x14ac:dyDescent="0.3">
      <c r="N55" s="54"/>
      <c r="O55" s="54"/>
      <c r="P55" s="54"/>
      <c r="Q55" s="39"/>
      <c r="S55" s="16"/>
    </row>
    <row r="56" spans="2:19" x14ac:dyDescent="0.3">
      <c r="D56" s="137"/>
      <c r="E56" s="137"/>
      <c r="F56" s="39"/>
      <c r="S56" s="16"/>
    </row>
    <row r="57" spans="2:19" x14ac:dyDescent="0.3">
      <c r="F57" s="12"/>
      <c r="S57" s="16"/>
    </row>
    <row r="58" spans="2:19" x14ac:dyDescent="0.3">
      <c r="D58" s="137"/>
      <c r="E58" s="137"/>
      <c r="F58" s="39"/>
      <c r="G58" s="39"/>
      <c r="S58" s="16"/>
    </row>
    <row r="59" spans="2:19" x14ac:dyDescent="0.3">
      <c r="F59" s="12"/>
      <c r="S59" s="16"/>
    </row>
    <row r="60" spans="2:19" x14ac:dyDescent="0.3">
      <c r="S60" s="16"/>
    </row>
    <row r="61" spans="2:19" x14ac:dyDescent="0.3">
      <c r="D61" s="254"/>
      <c r="F61" s="252"/>
      <c r="S61" s="16"/>
    </row>
    <row r="62" spans="2:19" x14ac:dyDescent="0.3">
      <c r="F62" s="1"/>
      <c r="S62" s="16"/>
    </row>
    <row r="63" spans="2:19" x14ac:dyDescent="0.3">
      <c r="D63" s="37"/>
      <c r="E63" s="37"/>
      <c r="F63" s="252"/>
      <c r="S63" s="16"/>
    </row>
    <row r="64" spans="2:19" x14ac:dyDescent="0.3">
      <c r="F64" s="12"/>
      <c r="S64" s="16"/>
    </row>
    <row r="65" spans="4:19" x14ac:dyDescent="0.3">
      <c r="S65" s="16"/>
    </row>
    <row r="66" spans="4:19" x14ac:dyDescent="0.3">
      <c r="F66" s="253"/>
      <c r="S66" s="16"/>
    </row>
    <row r="67" spans="4:19" x14ac:dyDescent="0.3">
      <c r="F67" s="12"/>
      <c r="J67" s="1"/>
      <c r="S67" s="16"/>
    </row>
    <row r="68" spans="4:19" x14ac:dyDescent="0.3">
      <c r="J68" s="234"/>
      <c r="S68" s="16"/>
    </row>
    <row r="69" spans="4:19" x14ac:dyDescent="0.3">
      <c r="F69" s="12"/>
      <c r="M69" s="1"/>
      <c r="S69" s="16"/>
    </row>
    <row r="70" spans="4:19" x14ac:dyDescent="0.3">
      <c r="S70" s="16"/>
    </row>
    <row r="71" spans="4:19" x14ac:dyDescent="0.3">
      <c r="D71" s="26"/>
      <c r="E71" s="26"/>
      <c r="F71" s="26"/>
      <c r="G71" s="26"/>
      <c r="H71" s="26"/>
      <c r="I71" s="26"/>
      <c r="J71" s="26"/>
      <c r="K71" s="26"/>
      <c r="L71" s="26"/>
      <c r="M71" s="26"/>
      <c r="N71" s="26"/>
      <c r="O71" s="26"/>
      <c r="P71" s="26"/>
      <c r="Q71" s="26"/>
      <c r="R71" s="26"/>
      <c r="S71" s="16"/>
    </row>
    <row r="72" spans="4:19" x14ac:dyDescent="0.3">
      <c r="M72" s="39"/>
      <c r="N72" s="39"/>
      <c r="O72" s="39"/>
      <c r="P72" s="39"/>
      <c r="Q72" s="12"/>
      <c r="S72" s="16"/>
    </row>
    <row r="73" spans="4:19" x14ac:dyDescent="0.3">
      <c r="S73" s="16"/>
    </row>
    <row r="74" spans="4:19" x14ac:dyDescent="0.3">
      <c r="D74" s="255"/>
      <c r="L74" s="255"/>
      <c r="M74" s="39"/>
      <c r="N74" s="39"/>
      <c r="O74" s="39"/>
      <c r="P74" s="39"/>
      <c r="Q74" s="39"/>
      <c r="S74" s="16"/>
    </row>
    <row r="75" spans="4:19" x14ac:dyDescent="0.3">
      <c r="S75" s="16"/>
    </row>
    <row r="76" spans="4:19" x14ac:dyDescent="0.3">
      <c r="S76" s="16"/>
    </row>
    <row r="77" spans="4:19" x14ac:dyDescent="0.3">
      <c r="S77" s="16"/>
    </row>
    <row r="78" spans="4:19" x14ac:dyDescent="0.3">
      <c r="S78" s="16"/>
    </row>
    <row r="79" spans="4:19" x14ac:dyDescent="0.3">
      <c r="S79" s="16"/>
    </row>
    <row r="80" spans="4:19" x14ac:dyDescent="0.3">
      <c r="S80" s="16"/>
    </row>
    <row r="81" spans="4:20" x14ac:dyDescent="0.3">
      <c r="S81" s="16"/>
    </row>
    <row r="82" spans="4:20" ht="16.2" thickBot="1" x14ac:dyDescent="0.35">
      <c r="D82" s="26"/>
      <c r="E82" s="26"/>
      <c r="F82" s="26"/>
      <c r="G82" s="26"/>
      <c r="H82" s="26"/>
      <c r="I82" s="26"/>
      <c r="J82" s="26"/>
      <c r="K82" s="26"/>
      <c r="L82" s="26"/>
      <c r="M82" s="26"/>
      <c r="N82" s="26"/>
      <c r="O82" s="26"/>
      <c r="P82" s="26"/>
      <c r="Q82" s="26"/>
      <c r="R82" s="26"/>
      <c r="S82" s="16"/>
    </row>
    <row r="83" spans="4:20" ht="18" thickBot="1" x14ac:dyDescent="0.35">
      <c r="M83" s="444" t="s">
        <v>53</v>
      </c>
      <c r="N83" s="445"/>
      <c r="O83" s="445"/>
      <c r="P83" s="446"/>
      <c r="Q83" s="17">
        <v>3</v>
      </c>
      <c r="S83" s="16"/>
    </row>
    <row r="84" spans="4:20" x14ac:dyDescent="0.3">
      <c r="J84" s="451" t="s">
        <v>62</v>
      </c>
      <c r="K84" s="452"/>
      <c r="L84" s="453"/>
      <c r="M84" s="447" t="s">
        <v>54</v>
      </c>
      <c r="N84" s="448"/>
      <c r="O84" s="448"/>
      <c r="P84" s="449"/>
      <c r="Q84" s="31">
        <v>3.1</v>
      </c>
      <c r="S84" s="16"/>
    </row>
    <row r="85" spans="4:20" x14ac:dyDescent="0.3">
      <c r="H85" s="381" t="s">
        <v>57</v>
      </c>
      <c r="I85" s="381"/>
      <c r="J85" s="397"/>
      <c r="K85" s="369" t="s">
        <v>55</v>
      </c>
      <c r="L85" s="369"/>
      <c r="M85" s="369"/>
      <c r="N85" s="369"/>
      <c r="O85" s="369"/>
      <c r="Q85" s="30">
        <f>H2*Q89^(-H3)</f>
        <v>4.4627902053919666</v>
      </c>
      <c r="S85" s="16"/>
    </row>
    <row r="86" spans="4:20" x14ac:dyDescent="0.3">
      <c r="H86" s="381" t="s">
        <v>58</v>
      </c>
      <c r="I86" s="381"/>
      <c r="J86" s="397"/>
      <c r="K86" s="27" t="s">
        <v>56</v>
      </c>
      <c r="L86" s="28"/>
      <c r="M86" s="28"/>
      <c r="N86" s="28"/>
      <c r="O86" s="29"/>
      <c r="P86" s="27"/>
      <c r="Q86" s="30">
        <f>Q85*0.6*E49</f>
        <v>4.4181623033380468</v>
      </c>
      <c r="S86" s="16"/>
    </row>
    <row r="87" spans="4:20" x14ac:dyDescent="0.3">
      <c r="L87" s="30"/>
      <c r="M87" s="369" t="s">
        <v>59</v>
      </c>
      <c r="N87" s="369"/>
      <c r="O87" s="369"/>
      <c r="P87" s="27"/>
      <c r="Q87" s="34">
        <f>Q88/(D44^0.333)</f>
        <v>0.23208428249584623</v>
      </c>
      <c r="S87" s="16"/>
    </row>
    <row r="88" spans="4:20" x14ac:dyDescent="0.3">
      <c r="F88" s="38" t="s">
        <v>72</v>
      </c>
      <c r="L88" s="369" t="s">
        <v>398</v>
      </c>
      <c r="M88" s="369"/>
      <c r="N88" s="369"/>
      <c r="O88" s="369"/>
      <c r="P88" s="27"/>
      <c r="Q88" s="30">
        <f>E39-N45</f>
        <v>1.7351084115113076</v>
      </c>
      <c r="S88" s="16"/>
    </row>
    <row r="89" spans="4:20" x14ac:dyDescent="0.3">
      <c r="F89" s="37" t="s">
        <v>71</v>
      </c>
      <c r="L89" s="30"/>
      <c r="M89" s="369" t="s">
        <v>60</v>
      </c>
      <c r="N89" s="369"/>
      <c r="O89" s="369"/>
      <c r="P89" s="389"/>
      <c r="Q89" s="30">
        <f>Q90/D44^0.333</f>
        <v>1.0386148098969583</v>
      </c>
      <c r="S89" s="16"/>
    </row>
    <row r="90" spans="4:20" x14ac:dyDescent="0.3">
      <c r="L90" s="30"/>
      <c r="M90" s="369" t="s">
        <v>399</v>
      </c>
      <c r="N90" s="369"/>
      <c r="O90" s="369"/>
      <c r="P90" s="389"/>
      <c r="Q90" s="30">
        <f>L14-Q88</f>
        <v>7.7648915884886929</v>
      </c>
      <c r="S90" s="16"/>
      <c r="T90" t="s">
        <v>61</v>
      </c>
    </row>
    <row r="91" spans="4:20" ht="16.2" thickBot="1" x14ac:dyDescent="0.35">
      <c r="L91" s="30"/>
      <c r="M91" s="389" t="s">
        <v>400</v>
      </c>
      <c r="N91" s="390"/>
      <c r="O91" s="390"/>
      <c r="P91" s="450"/>
      <c r="Q91" s="35">
        <f>H16*(D44^0.333)</f>
        <v>4.1119097599739405</v>
      </c>
      <c r="S91" s="16"/>
    </row>
    <row r="92" spans="4:20" x14ac:dyDescent="0.3">
      <c r="P92" s="256" t="s">
        <v>69</v>
      </c>
      <c r="Q92" s="257">
        <f>IF(Q87&lt;0.7,Q86,Q85)</f>
        <v>4.4181623033380468</v>
      </c>
      <c r="R92" s="227" t="s">
        <v>68</v>
      </c>
      <c r="S92" s="16"/>
    </row>
    <row r="93" spans="4:20" x14ac:dyDescent="0.3">
      <c r="F93" s="37"/>
      <c r="G93" s="37"/>
      <c r="H93" s="37"/>
      <c r="I93" s="37"/>
      <c r="J93" s="37"/>
      <c r="K93" s="37"/>
      <c r="L93" s="37"/>
      <c r="M93" s="37"/>
      <c r="N93" s="37"/>
      <c r="O93" s="37"/>
      <c r="P93" s="37"/>
      <c r="Q93" s="37"/>
      <c r="R93" s="37"/>
      <c r="S93" s="16"/>
    </row>
    <row r="94" spans="4:20" x14ac:dyDescent="0.3">
      <c r="F94" s="37"/>
      <c r="G94" s="37"/>
      <c r="H94" s="37"/>
      <c r="I94" s="37"/>
      <c r="J94" s="37"/>
      <c r="K94" s="37"/>
      <c r="L94" s="37"/>
      <c r="M94" s="37"/>
      <c r="N94" s="37"/>
      <c r="O94" s="37"/>
      <c r="P94" s="37"/>
      <c r="Q94" s="37"/>
      <c r="R94" s="37"/>
      <c r="S94" s="16"/>
    </row>
    <row r="95" spans="4:20" ht="16.2" thickBot="1" x14ac:dyDescent="0.35">
      <c r="E95" s="43"/>
      <c r="F95" s="43"/>
      <c r="G95" s="43"/>
      <c r="H95" s="43"/>
      <c r="I95" s="43"/>
      <c r="J95" s="43"/>
      <c r="K95" s="43"/>
      <c r="L95" s="43"/>
      <c r="M95" s="43"/>
      <c r="N95" s="43"/>
      <c r="O95" s="43"/>
      <c r="P95" s="43"/>
      <c r="Q95" s="43"/>
      <c r="R95" s="43"/>
      <c r="S95" s="16"/>
    </row>
    <row r="96" spans="4:20" ht="16.2" thickBot="1" x14ac:dyDescent="0.35">
      <c r="O96" s="365" t="s">
        <v>70</v>
      </c>
      <c r="P96" s="366"/>
      <c r="Q96" s="36">
        <v>5.2</v>
      </c>
      <c r="S96" s="16"/>
    </row>
    <row r="97" spans="5:19" x14ac:dyDescent="0.3">
      <c r="S97" s="16"/>
    </row>
    <row r="98" spans="5:19" x14ac:dyDescent="0.3">
      <c r="Q98" s="438" t="str">
        <f>IF(Q90&gt;Q91,F89,F88)</f>
        <v>Rэkв  &gt; ٭R  , الشرط محقق</v>
      </c>
      <c r="R98" s="438"/>
      <c r="S98" s="16"/>
    </row>
    <row r="99" spans="5:19" x14ac:dyDescent="0.3">
      <c r="S99" s="16"/>
    </row>
    <row r="100" spans="5:19" x14ac:dyDescent="0.3">
      <c r="S100" s="16"/>
    </row>
    <row r="101" spans="5:19" x14ac:dyDescent="0.3">
      <c r="S101" s="16"/>
    </row>
    <row r="102" spans="5:19" x14ac:dyDescent="0.3">
      <c r="G102" s="1">
        <v>2</v>
      </c>
      <c r="M102" s="32">
        <v>1</v>
      </c>
      <c r="S102" s="16"/>
    </row>
    <row r="103" spans="5:19" ht="16.2" thickBot="1" x14ac:dyDescent="0.35">
      <c r="E103" s="43"/>
      <c r="F103" s="43"/>
      <c r="G103" s="43"/>
      <c r="H103" s="43"/>
      <c r="I103" s="43"/>
      <c r="J103" s="43"/>
      <c r="K103" s="43"/>
      <c r="L103" s="43"/>
      <c r="M103" s="43"/>
      <c r="N103" s="43"/>
      <c r="O103" s="43"/>
      <c r="P103" s="43"/>
      <c r="Q103" s="43"/>
      <c r="R103" s="43"/>
      <c r="S103" s="16"/>
    </row>
    <row r="104" spans="5:19" ht="18" thickBot="1" x14ac:dyDescent="0.35">
      <c r="N104" s="375" t="s">
        <v>74</v>
      </c>
      <c r="O104" s="376"/>
      <c r="P104" s="377"/>
      <c r="Q104" s="36">
        <v>5.3</v>
      </c>
      <c r="S104" s="16"/>
    </row>
    <row r="105" spans="5:19" ht="16.2" thickBot="1" x14ac:dyDescent="0.35">
      <c r="S105" s="16"/>
    </row>
    <row r="106" spans="5:19" ht="21.6" thickBot="1" x14ac:dyDescent="0.45">
      <c r="M106" s="41" t="s">
        <v>77</v>
      </c>
      <c r="N106" s="372" t="s">
        <v>75</v>
      </c>
      <c r="O106" s="373"/>
      <c r="P106" s="439"/>
      <c r="Q106" s="39">
        <f>H4*((D44)^0.333)+Q90*H5</f>
        <v>5.4065549094521145E-2</v>
      </c>
      <c r="S106" s="16"/>
    </row>
    <row r="107" spans="5:19" ht="21.6" thickBot="1" x14ac:dyDescent="0.45">
      <c r="M107" s="40" t="s">
        <v>76</v>
      </c>
      <c r="N107" s="372" t="s">
        <v>315</v>
      </c>
      <c r="O107" s="373"/>
      <c r="P107" s="374"/>
      <c r="Q107" s="39">
        <f>0.0035*H6*D44^0.333</f>
        <v>2.6166698472561437E-2</v>
      </c>
      <c r="S107" s="16"/>
    </row>
    <row r="108" spans="5:19" ht="18" thickBot="1" x14ac:dyDescent="0.35">
      <c r="P108" s="42" t="s">
        <v>78</v>
      </c>
      <c r="Q108" s="65">
        <f>IF(Q89&gt;0.375,Q106,Q107)</f>
        <v>5.4065549094521145E-2</v>
      </c>
      <c r="S108" s="16"/>
    </row>
    <row r="109" spans="5:19" x14ac:dyDescent="0.3">
      <c r="S109" s="16"/>
    </row>
    <row r="110" spans="5:19" ht="16.2" thickBot="1" x14ac:dyDescent="0.35">
      <c r="E110" s="43"/>
      <c r="F110" s="43"/>
      <c r="G110" s="43"/>
      <c r="H110" s="43"/>
      <c r="I110" s="43"/>
      <c r="J110" s="43"/>
      <c r="K110" s="43"/>
      <c r="L110" s="43"/>
      <c r="M110" s="43"/>
      <c r="N110" s="43"/>
      <c r="O110" s="43"/>
      <c r="P110" s="43"/>
      <c r="Q110" s="43"/>
      <c r="R110" s="43"/>
      <c r="S110" s="16"/>
    </row>
    <row r="111" spans="5:19" ht="18" thickBot="1" x14ac:dyDescent="0.35">
      <c r="N111" s="375" t="s">
        <v>73</v>
      </c>
      <c r="O111" s="376"/>
      <c r="P111" s="377"/>
      <c r="Q111" s="36">
        <v>5.4</v>
      </c>
      <c r="S111" s="16"/>
    </row>
    <row r="112" spans="5:19" x14ac:dyDescent="0.3">
      <c r="S112" s="26"/>
    </row>
    <row r="113" spans="8:19" x14ac:dyDescent="0.3">
      <c r="H113" t="s">
        <v>80</v>
      </c>
      <c r="I113">
        <v>0</v>
      </c>
      <c r="J113">
        <v>5</v>
      </c>
      <c r="K113">
        <v>10</v>
      </c>
      <c r="L113">
        <v>15</v>
      </c>
      <c r="M113">
        <v>20</v>
      </c>
      <c r="N113">
        <v>25</v>
      </c>
      <c r="S113" s="26"/>
    </row>
    <row r="114" spans="8:19" x14ac:dyDescent="0.3">
      <c r="H114" t="s">
        <v>79</v>
      </c>
      <c r="I114">
        <v>1</v>
      </c>
      <c r="J114">
        <v>0.83</v>
      </c>
      <c r="K114">
        <v>0.69499999999999995</v>
      </c>
      <c r="L114">
        <v>0.59499999999999997</v>
      </c>
      <c r="M114">
        <v>0.53800000000000003</v>
      </c>
      <c r="N114">
        <v>0.52</v>
      </c>
      <c r="S114" s="26"/>
    </row>
    <row r="115" spans="8:19" ht="16.2" thickBot="1" x14ac:dyDescent="0.35">
      <c r="S115" s="26"/>
    </row>
    <row r="116" spans="8:19" ht="16.2" thickBot="1" x14ac:dyDescent="0.35">
      <c r="L116" s="378" t="s">
        <v>81</v>
      </c>
      <c r="M116" s="379"/>
      <c r="N116" s="379"/>
      <c r="O116" s="379"/>
      <c r="P116" s="379"/>
      <c r="Q116" s="380"/>
      <c r="R116" s="66">
        <f>Q108*(0.0008*((Q92)^2)-0.0384*Q92+1.0013)</f>
        <v>4.580750651960834E-2</v>
      </c>
      <c r="S116" s="26"/>
    </row>
    <row r="117" spans="8:19" x14ac:dyDescent="0.3">
      <c r="S117" s="26"/>
    </row>
    <row r="118" spans="8:19" x14ac:dyDescent="0.3">
      <c r="S118" s="26"/>
    </row>
    <row r="119" spans="8:19" x14ac:dyDescent="0.3">
      <c r="S119" s="26"/>
    </row>
    <row r="120" spans="8:19" x14ac:dyDescent="0.3">
      <c r="S120" s="26"/>
    </row>
    <row r="121" spans="8:19" x14ac:dyDescent="0.3">
      <c r="S121" s="26"/>
    </row>
    <row r="122" spans="8:19" x14ac:dyDescent="0.3">
      <c r="S122" s="26"/>
    </row>
    <row r="123" spans="8:19" x14ac:dyDescent="0.3">
      <c r="S123" s="26"/>
    </row>
    <row r="124" spans="8:19" x14ac:dyDescent="0.3">
      <c r="S124" s="26"/>
    </row>
    <row r="125" spans="8:19" x14ac:dyDescent="0.3">
      <c r="S125" s="26"/>
    </row>
    <row r="126" spans="8:19" x14ac:dyDescent="0.3">
      <c r="S126" s="26"/>
    </row>
    <row r="127" spans="8:19" x14ac:dyDescent="0.3">
      <c r="S127" s="26"/>
    </row>
    <row r="128" spans="8:19" x14ac:dyDescent="0.3">
      <c r="S128" s="26"/>
    </row>
    <row r="129" spans="5:19" x14ac:dyDescent="0.3">
      <c r="S129" s="26"/>
    </row>
    <row r="130" spans="5:19" x14ac:dyDescent="0.3">
      <c r="S130" s="26"/>
    </row>
    <row r="131" spans="5:19" x14ac:dyDescent="0.3">
      <c r="S131" s="26"/>
    </row>
    <row r="132" spans="5:19" x14ac:dyDescent="0.3">
      <c r="S132" s="26"/>
    </row>
    <row r="133" spans="5:19" x14ac:dyDescent="0.3">
      <c r="S133" s="26"/>
    </row>
    <row r="134" spans="5:19" x14ac:dyDescent="0.3">
      <c r="S134" s="26"/>
    </row>
    <row r="135" spans="5:19" x14ac:dyDescent="0.3">
      <c r="S135" s="26"/>
    </row>
    <row r="136" spans="5:19" ht="16.2" thickBot="1" x14ac:dyDescent="0.35">
      <c r="E136" s="43"/>
      <c r="F136" s="43"/>
      <c r="G136" s="43"/>
      <c r="H136" s="43"/>
      <c r="I136" s="43"/>
      <c r="J136" s="43"/>
      <c r="K136" s="43"/>
      <c r="L136" s="43"/>
      <c r="M136" s="43"/>
      <c r="N136" s="43"/>
      <c r="O136" s="43"/>
      <c r="P136" s="43"/>
      <c r="Q136" s="43"/>
      <c r="R136" s="43"/>
      <c r="S136" s="26"/>
    </row>
    <row r="137" spans="5:19" ht="21" thickBot="1" x14ac:dyDescent="0.4">
      <c r="L137" s="382" t="s">
        <v>82</v>
      </c>
      <c r="M137" s="383"/>
      <c r="N137" s="383"/>
      <c r="O137" s="383"/>
      <c r="P137" s="384"/>
      <c r="Q137" s="44">
        <v>5.5</v>
      </c>
      <c r="S137" s="26"/>
    </row>
    <row r="138" spans="5:19" x14ac:dyDescent="0.3">
      <c r="S138" s="26"/>
    </row>
    <row r="139" spans="5:19" ht="21" x14ac:dyDescent="0.4">
      <c r="L139" s="435" t="s">
        <v>83</v>
      </c>
      <c r="M139" s="381"/>
      <c r="N139" s="381"/>
      <c r="O139" s="381"/>
      <c r="P139" s="381"/>
      <c r="Q139" s="48">
        <f>((O143-O144)/(O143*O144))*(Q90-Q91)</f>
        <v>5.5321599806833991E-3</v>
      </c>
      <c r="R139" t="s">
        <v>90</v>
      </c>
      <c r="S139" s="26"/>
    </row>
    <row r="140" spans="5:19" ht="16.2" thickBot="1" x14ac:dyDescent="0.35">
      <c r="S140" s="26"/>
    </row>
    <row r="141" spans="5:19" ht="16.2" thickBot="1" x14ac:dyDescent="0.35">
      <c r="J141" s="460" t="s">
        <v>84</v>
      </c>
      <c r="K141" s="461"/>
      <c r="L141" s="460" t="s">
        <v>401</v>
      </c>
      <c r="M141" s="461"/>
      <c r="N141" s="462"/>
      <c r="O141" s="45">
        <f>L14</f>
        <v>9.5</v>
      </c>
      <c r="P141" t="s">
        <v>34</v>
      </c>
      <c r="S141" s="26"/>
    </row>
    <row r="142" spans="5:19" x14ac:dyDescent="0.3">
      <c r="S142" s="26"/>
    </row>
    <row r="143" spans="5:19" x14ac:dyDescent="0.3">
      <c r="M143" s="381" t="s">
        <v>85</v>
      </c>
      <c r="N143" s="381"/>
      <c r="O143">
        <f>(H7+H9)/2</f>
        <v>640</v>
      </c>
      <c r="P143" t="s">
        <v>88</v>
      </c>
      <c r="S143" s="26"/>
    </row>
    <row r="144" spans="5:19" x14ac:dyDescent="0.3">
      <c r="M144" s="381" t="s">
        <v>86</v>
      </c>
      <c r="N144" s="381"/>
      <c r="O144">
        <f>(H10+J8)/2</f>
        <v>325</v>
      </c>
      <c r="P144" t="s">
        <v>88</v>
      </c>
      <c r="S144" s="26"/>
    </row>
    <row r="145" spans="1:19" x14ac:dyDescent="0.3">
      <c r="S145" s="26"/>
    </row>
    <row r="146" spans="1:19" x14ac:dyDescent="0.3">
      <c r="I146" s="381" t="s">
        <v>87</v>
      </c>
      <c r="J146" s="381"/>
      <c r="K146" s="381"/>
      <c r="L146" s="381"/>
      <c r="M146" s="381"/>
      <c r="N146" s="381"/>
      <c r="O146" s="381"/>
      <c r="P146" s="381"/>
      <c r="Q146" s="381"/>
      <c r="S146" s="26"/>
    </row>
    <row r="147" spans="1:19" x14ac:dyDescent="0.3">
      <c r="S147" s="26"/>
    </row>
    <row r="148" spans="1:19" x14ac:dyDescent="0.3">
      <c r="J148" s="381"/>
      <c r="K148" s="381"/>
      <c r="M148" s="381"/>
      <c r="N148" s="381"/>
      <c r="O148" s="12"/>
      <c r="S148" s="26"/>
    </row>
    <row r="149" spans="1:19" x14ac:dyDescent="0.3">
      <c r="S149" s="26"/>
    </row>
    <row r="150" spans="1:19" x14ac:dyDescent="0.3">
      <c r="A150" s="43"/>
      <c r="B150" s="43"/>
      <c r="C150" s="43"/>
      <c r="D150" s="43"/>
      <c r="E150" s="43"/>
      <c r="F150" s="43"/>
      <c r="G150" s="43"/>
      <c r="H150" s="43"/>
      <c r="I150" s="43"/>
      <c r="J150" s="43"/>
      <c r="K150" s="43"/>
      <c r="L150" s="43"/>
      <c r="M150" s="43"/>
      <c r="N150" s="43"/>
      <c r="O150" s="43"/>
      <c r="P150" s="43"/>
      <c r="Q150" s="43"/>
      <c r="R150" s="43"/>
      <c r="S150" s="26"/>
    </row>
    <row r="151" spans="1:19" ht="16.2" thickBot="1" x14ac:dyDescent="0.35">
      <c r="H151" s="3"/>
      <c r="S151" s="26"/>
    </row>
    <row r="152" spans="1:19" ht="21" thickBot="1" x14ac:dyDescent="0.4">
      <c r="L152" s="382" t="s">
        <v>91</v>
      </c>
      <c r="M152" s="383"/>
      <c r="N152" s="383"/>
      <c r="O152" s="383"/>
      <c r="P152" s="384"/>
      <c r="Q152" s="44">
        <v>5.6</v>
      </c>
      <c r="S152" s="26"/>
    </row>
    <row r="153" spans="1:19" x14ac:dyDescent="0.3">
      <c r="S153" s="26"/>
    </row>
    <row r="154" spans="1:19" x14ac:dyDescent="0.3">
      <c r="J154" s="30"/>
      <c r="K154" s="30"/>
      <c r="L154" s="30"/>
      <c r="M154" s="30"/>
      <c r="N154" s="30"/>
      <c r="O154" s="30"/>
      <c r="P154" s="30"/>
      <c r="Q154" s="30"/>
      <c r="R154" s="30"/>
      <c r="S154" s="26"/>
    </row>
    <row r="155" spans="1:19" x14ac:dyDescent="0.3">
      <c r="J155" s="30"/>
      <c r="K155" s="30"/>
      <c r="L155" s="371" t="s">
        <v>101</v>
      </c>
      <c r="M155" s="368"/>
      <c r="N155" s="368"/>
      <c r="O155" s="368"/>
      <c r="P155" s="368"/>
      <c r="Q155" s="64">
        <f>(1/((B3*100)^2))*Q156*Q171*((Q161/Q165)^0.5)</f>
        <v>108426.0379302299</v>
      </c>
      <c r="R155" s="30" t="s">
        <v>379</v>
      </c>
      <c r="S155" s="26"/>
    </row>
    <row r="156" spans="1:19" x14ac:dyDescent="0.3">
      <c r="J156" s="30"/>
      <c r="K156" s="30"/>
      <c r="L156" s="30"/>
      <c r="M156" s="30"/>
      <c r="N156" s="30"/>
      <c r="O156" s="30"/>
      <c r="P156" s="47" t="s">
        <v>105</v>
      </c>
      <c r="Q156" s="30">
        <f>IF(H13=1,Q158,Q157)</f>
        <v>209.1325824925423</v>
      </c>
      <c r="R156" s="30"/>
      <c r="S156" s="26"/>
    </row>
    <row r="157" spans="1:19" x14ac:dyDescent="0.3">
      <c r="J157" s="30"/>
      <c r="K157" s="30" t="s">
        <v>93</v>
      </c>
      <c r="L157" s="369" t="s">
        <v>92</v>
      </c>
      <c r="M157" s="369"/>
      <c r="N157" s="369"/>
      <c r="O157" s="369"/>
      <c r="P157" s="369"/>
      <c r="Q157" s="30">
        <f>9.87*(1+(Q160)^2)</f>
        <v>98.699999999999989</v>
      </c>
      <c r="R157" s="30"/>
      <c r="S157" s="26"/>
    </row>
    <row r="158" spans="1:19" x14ac:dyDescent="0.3">
      <c r="J158" s="30"/>
      <c r="K158" s="30" t="s">
        <v>94</v>
      </c>
      <c r="L158" s="369" t="s">
        <v>95</v>
      </c>
      <c r="M158" s="369"/>
      <c r="N158" s="369"/>
      <c r="O158" s="369"/>
      <c r="P158" s="369"/>
      <c r="Q158" s="30">
        <f>22.37*(1+0.6*((Q160)^2)+((Q160)^4))^0.5</f>
        <v>209.1325824925423</v>
      </c>
      <c r="R158" s="30"/>
      <c r="S158" s="26"/>
    </row>
    <row r="159" spans="1:19" x14ac:dyDescent="0.3">
      <c r="J159" s="30"/>
      <c r="K159" s="30"/>
      <c r="L159" s="30"/>
      <c r="M159" s="30"/>
      <c r="N159" s="389" t="s">
        <v>104</v>
      </c>
      <c r="O159" s="390"/>
      <c r="P159" s="391"/>
      <c r="Q159" s="30"/>
      <c r="R159" s="30"/>
      <c r="S159" s="26"/>
    </row>
    <row r="160" spans="1:19" x14ac:dyDescent="0.3">
      <c r="J160" s="30" t="s">
        <v>97</v>
      </c>
      <c r="K160" s="369"/>
      <c r="L160" s="369"/>
      <c r="M160" s="457" t="s">
        <v>96</v>
      </c>
      <c r="N160" s="458"/>
      <c r="O160" s="458"/>
      <c r="P160" s="459"/>
      <c r="Q160" s="30">
        <f>B2/B3</f>
        <v>3</v>
      </c>
      <c r="R160" s="30"/>
      <c r="S160" s="26"/>
    </row>
    <row r="161" spans="4:19" x14ac:dyDescent="0.3">
      <c r="J161" s="30"/>
      <c r="K161" s="30"/>
      <c r="L161" s="370" t="s">
        <v>542</v>
      </c>
      <c r="M161" s="370"/>
      <c r="N161" s="370"/>
      <c r="O161" s="370"/>
      <c r="P161" s="370"/>
      <c r="Q161" s="30">
        <f>0.85*Q162*H11*(Q163-Q167)*(Q163-0.5*Q167)</f>
        <v>1179750143.2499998</v>
      </c>
      <c r="R161" s="207" t="s">
        <v>546</v>
      </c>
      <c r="S161" s="26"/>
    </row>
    <row r="162" spans="4:19" x14ac:dyDescent="0.3">
      <c r="L162" s="388" t="s">
        <v>543</v>
      </c>
      <c r="M162" s="388"/>
      <c r="N162" s="388"/>
      <c r="O162" s="388"/>
      <c r="P162" s="388"/>
      <c r="Q162" s="46">
        <f>Q163*Sheet3!D89*100</f>
        <v>9</v>
      </c>
      <c r="R162" s="46" t="s">
        <v>545</v>
      </c>
      <c r="S162" s="26"/>
    </row>
    <row r="163" spans="4:19" x14ac:dyDescent="0.3">
      <c r="L163" s="30"/>
      <c r="M163" s="389" t="s">
        <v>99</v>
      </c>
      <c r="N163" s="390"/>
      <c r="O163" s="390"/>
      <c r="P163" s="391"/>
      <c r="Q163" s="30">
        <f>(B12*100-5)</f>
        <v>10</v>
      </c>
      <c r="R163" s="30" t="s">
        <v>544</v>
      </c>
      <c r="S163" s="26"/>
    </row>
    <row r="164" spans="4:19" x14ac:dyDescent="0.3">
      <c r="S164" s="26"/>
    </row>
    <row r="165" spans="4:19" x14ac:dyDescent="0.3">
      <c r="K165" s="385" t="s">
        <v>547</v>
      </c>
      <c r="L165" s="386"/>
      <c r="M165" s="386"/>
      <c r="N165" s="386"/>
      <c r="O165" s="386"/>
      <c r="P165" s="387"/>
      <c r="Q165" s="30">
        <f>(Sheet3!J89*100*Sheet3!R94*0.000001)/(9.81*100)</f>
        <v>3.82262996941896E-5</v>
      </c>
      <c r="R165" s="30" t="s">
        <v>548</v>
      </c>
      <c r="S165" s="26"/>
    </row>
    <row r="166" spans="4:19" x14ac:dyDescent="0.3">
      <c r="S166" s="26"/>
    </row>
    <row r="167" spans="4:19" x14ac:dyDescent="0.3">
      <c r="K167" s="389" t="s">
        <v>549</v>
      </c>
      <c r="L167" s="390"/>
      <c r="M167" s="390"/>
      <c r="N167" s="390"/>
      <c r="O167" s="390"/>
      <c r="P167" s="391"/>
      <c r="Q167" s="30">
        <f>Q168*Q162/(Q169*100)</f>
        <v>1.89</v>
      </c>
      <c r="R167" s="30" t="s">
        <v>544</v>
      </c>
      <c r="S167" s="26"/>
    </row>
    <row r="168" spans="4:19" x14ac:dyDescent="0.3">
      <c r="D168">
        <v>0.1</v>
      </c>
      <c r="E168">
        <v>0.2</v>
      </c>
      <c r="F168">
        <v>0.3</v>
      </c>
      <c r="G168">
        <v>0.4</v>
      </c>
      <c r="H168">
        <v>0.5</v>
      </c>
      <c r="O168" s="369" t="s">
        <v>108</v>
      </c>
      <c r="P168" s="369"/>
      <c r="Q168" s="30">
        <f>1.05*H14*H18</f>
        <v>4956</v>
      </c>
      <c r="R168" s="30" t="s">
        <v>68</v>
      </c>
      <c r="S168" s="26"/>
    </row>
    <row r="169" spans="4:19" x14ac:dyDescent="0.3">
      <c r="D169">
        <v>1</v>
      </c>
      <c r="E169">
        <v>0.87</v>
      </c>
      <c r="F169">
        <v>0.74</v>
      </c>
      <c r="G169">
        <v>0.61499999999999999</v>
      </c>
      <c r="H169">
        <v>0.5</v>
      </c>
      <c r="O169" s="369" t="s">
        <v>109</v>
      </c>
      <c r="P169" s="369"/>
      <c r="Q169" s="30">
        <f>H15*H17</f>
        <v>236</v>
      </c>
      <c r="R169" s="30" t="s">
        <v>68</v>
      </c>
      <c r="S169" s="26"/>
    </row>
    <row r="170" spans="4:19" x14ac:dyDescent="0.3">
      <c r="S170" s="26"/>
    </row>
    <row r="171" spans="4:19" x14ac:dyDescent="0.3">
      <c r="L171" s="369" t="s">
        <v>113</v>
      </c>
      <c r="M171" s="369"/>
      <c r="N171" s="369"/>
      <c r="O171" s="369"/>
      <c r="P171" s="369"/>
      <c r="Q171" s="30">
        <f>-1.255*(B12/B3)+1.1215</f>
        <v>0.93324999999999991</v>
      </c>
      <c r="S171" s="26"/>
    </row>
    <row r="172" spans="4:19" x14ac:dyDescent="0.3">
      <c r="S172" s="26"/>
    </row>
    <row r="173" spans="4:19" ht="16.2" thickBot="1" x14ac:dyDescent="0.35">
      <c r="D173" s="51"/>
      <c r="E173" s="51"/>
      <c r="F173" s="51"/>
      <c r="G173" s="51"/>
      <c r="H173" s="51"/>
      <c r="I173" s="51"/>
      <c r="J173" s="51"/>
      <c r="K173" s="51"/>
      <c r="L173" s="51"/>
      <c r="M173" s="51"/>
      <c r="N173" s="51"/>
      <c r="O173" s="51"/>
      <c r="P173" s="51"/>
      <c r="Q173" s="51"/>
      <c r="R173" s="51"/>
      <c r="S173" s="26"/>
    </row>
    <row r="174" spans="4:19" ht="16.2" thickBot="1" x14ac:dyDescent="0.35">
      <c r="L174" s="365" t="s">
        <v>116</v>
      </c>
      <c r="M174" s="366"/>
      <c r="N174" s="366"/>
      <c r="O174" s="366"/>
      <c r="P174" s="367"/>
      <c r="Q174" s="44">
        <v>5.7</v>
      </c>
      <c r="S174" s="26"/>
    </row>
    <row r="175" spans="4:19" ht="16.2" thickBot="1" x14ac:dyDescent="0.35">
      <c r="L175" t="s">
        <v>114</v>
      </c>
      <c r="M175">
        <f>R116</f>
        <v>4.580750651960834E-2</v>
      </c>
      <c r="S175" s="26"/>
    </row>
    <row r="176" spans="4:19" ht="16.2" thickBot="1" x14ac:dyDescent="0.35">
      <c r="L176" t="s">
        <v>115</v>
      </c>
      <c r="M176">
        <f>0.2*3.14/Q155</f>
        <v>5.7919666898103043E-6</v>
      </c>
      <c r="O176" s="213" t="str">
        <f>IF(M175&gt;=M176,"الشرط محقق","غير محقق")</f>
        <v>الشرط محقق</v>
      </c>
      <c r="S176" s="26"/>
    </row>
    <row r="177" spans="4:19" x14ac:dyDescent="0.3">
      <c r="S177" s="26"/>
    </row>
    <row r="178" spans="4:19" ht="16.2" thickBot="1" x14ac:dyDescent="0.35">
      <c r="F178" s="50"/>
      <c r="G178" s="50"/>
      <c r="H178" s="50"/>
      <c r="I178" s="50"/>
      <c r="J178" s="50"/>
      <c r="K178" s="50"/>
      <c r="L178" s="50"/>
      <c r="M178" s="50"/>
      <c r="N178" s="50"/>
      <c r="O178" s="50"/>
      <c r="P178" s="50"/>
      <c r="Q178" s="50"/>
      <c r="R178" s="50"/>
      <c r="S178" s="26"/>
    </row>
    <row r="179" spans="4:19" ht="16.2" thickBot="1" x14ac:dyDescent="0.35">
      <c r="L179" s="365" t="s">
        <v>117</v>
      </c>
      <c r="M179" s="366"/>
      <c r="N179" s="366"/>
      <c r="O179" s="366"/>
      <c r="P179" s="367"/>
      <c r="Q179" s="44">
        <v>5.8</v>
      </c>
      <c r="S179" s="26"/>
    </row>
    <row r="180" spans="4:19" x14ac:dyDescent="0.3">
      <c r="S180" s="26"/>
    </row>
    <row r="181" spans="4:19" x14ac:dyDescent="0.3">
      <c r="M181" s="368" t="s">
        <v>118</v>
      </c>
      <c r="N181" s="368"/>
      <c r="O181" s="368"/>
      <c r="P181" s="368"/>
      <c r="Q181" s="49">
        <f>2*H22*Q92</f>
        <v>7.5992391617414405</v>
      </c>
      <c r="R181" s="48" t="s">
        <v>68</v>
      </c>
      <c r="S181" s="26"/>
    </row>
    <row r="182" spans="4:19" x14ac:dyDescent="0.3">
      <c r="S182" s="26"/>
    </row>
    <row r="183" spans="4:19" ht="18" x14ac:dyDescent="0.35">
      <c r="L183" s="369" t="s">
        <v>264</v>
      </c>
      <c r="M183" s="369"/>
      <c r="N183" s="369"/>
      <c r="O183" s="369"/>
      <c r="P183" s="47" t="s">
        <v>119</v>
      </c>
      <c r="Q183" s="30">
        <f>P185/(2*J8*Q139*B15)</f>
        <v>1.48630915026146</v>
      </c>
      <c r="S183" s="26"/>
    </row>
    <row r="184" spans="4:19" x14ac:dyDescent="0.3">
      <c r="S184" s="26"/>
    </row>
    <row r="185" spans="4:19" x14ac:dyDescent="0.3">
      <c r="M185" s="369" t="s">
        <v>157</v>
      </c>
      <c r="N185" s="369"/>
      <c r="O185" s="369"/>
      <c r="P185" s="30">
        <f>H21*1000*1.15/P186</f>
        <v>12333.749999999998</v>
      </c>
      <c r="Q185" s="207" t="s">
        <v>376</v>
      </c>
      <c r="S185" s="26"/>
    </row>
    <row r="186" spans="4:19" x14ac:dyDescent="0.3">
      <c r="M186" s="30"/>
      <c r="N186" s="30"/>
      <c r="O186" s="30" t="s">
        <v>120</v>
      </c>
      <c r="P186" s="30">
        <f>Sheet1!B2*B3</f>
        <v>3</v>
      </c>
      <c r="Q186" s="30" t="s">
        <v>123</v>
      </c>
      <c r="S186" s="26"/>
    </row>
    <row r="187" spans="4:19" ht="16.2" thickBot="1" x14ac:dyDescent="0.35">
      <c r="D187" s="50"/>
      <c r="E187" s="50"/>
      <c r="F187" s="50"/>
      <c r="G187" s="50"/>
      <c r="H187" s="50"/>
      <c r="I187" s="50"/>
      <c r="J187" s="50"/>
      <c r="K187" s="50"/>
      <c r="L187" s="50"/>
      <c r="M187" s="50"/>
      <c r="N187" s="50"/>
      <c r="O187" s="50"/>
      <c r="P187" s="50"/>
      <c r="Q187" s="50"/>
      <c r="R187" s="50"/>
      <c r="S187" s="26"/>
    </row>
    <row r="188" spans="4:19" ht="16.2" thickBot="1" x14ac:dyDescent="0.35">
      <c r="L188" s="365" t="s">
        <v>126</v>
      </c>
      <c r="M188" s="366"/>
      <c r="N188" s="366"/>
      <c r="O188" s="366"/>
      <c r="P188" s="367"/>
      <c r="Q188" s="52">
        <v>5.9</v>
      </c>
      <c r="S188" s="26"/>
    </row>
    <row r="189" spans="4:19" x14ac:dyDescent="0.3">
      <c r="S189" s="26"/>
    </row>
    <row r="190" spans="4:19" x14ac:dyDescent="0.3">
      <c r="M190" s="368" t="s">
        <v>127</v>
      </c>
      <c r="N190" s="368"/>
      <c r="O190" s="368"/>
      <c r="P190" s="368"/>
      <c r="Q190" s="49">
        <f>H23*0.9*Q181</f>
        <v>0</v>
      </c>
      <c r="R190" s="48" t="s">
        <v>68</v>
      </c>
      <c r="S190" s="26"/>
    </row>
    <row r="191" spans="4:19" x14ac:dyDescent="0.3">
      <c r="S191" s="26"/>
    </row>
    <row r="192" spans="4:19" ht="18" x14ac:dyDescent="0.35">
      <c r="K192" s="369" t="s">
        <v>131</v>
      </c>
      <c r="L192" s="369"/>
      <c r="M192" s="369"/>
      <c r="N192" s="30" t="s">
        <v>128</v>
      </c>
      <c r="O192" s="30"/>
      <c r="P192" s="53" t="s">
        <v>130</v>
      </c>
      <c r="Q192" s="30">
        <f>Q155*Q139</f>
        <v>599.83018790167807</v>
      </c>
      <c r="R192" t="s">
        <v>457</v>
      </c>
      <c r="S192" s="26"/>
    </row>
    <row r="193" spans="4:19" x14ac:dyDescent="0.3">
      <c r="N193" s="30" t="s">
        <v>129</v>
      </c>
      <c r="S193" s="26"/>
    </row>
    <row r="194" spans="4:19" ht="16.2" thickBot="1" x14ac:dyDescent="0.35">
      <c r="D194" s="50"/>
      <c r="E194" s="50"/>
      <c r="F194" s="50"/>
      <c r="G194" s="50"/>
      <c r="H194" s="50"/>
      <c r="I194" s="50"/>
      <c r="J194" s="50"/>
      <c r="K194" s="50"/>
      <c r="L194" s="50"/>
      <c r="M194" s="50"/>
      <c r="N194" s="50"/>
      <c r="O194" s="50"/>
      <c r="P194" s="50"/>
      <c r="Q194" s="50"/>
      <c r="R194" s="50"/>
      <c r="S194" s="26"/>
    </row>
    <row r="195" spans="4:19" ht="16.2" thickBot="1" x14ac:dyDescent="0.35">
      <c r="L195" s="365" t="s">
        <v>133</v>
      </c>
      <c r="M195" s="366"/>
      <c r="N195" s="366"/>
      <c r="O195" s="366"/>
      <c r="P195" s="367"/>
      <c r="Q195" s="56" t="s">
        <v>146</v>
      </c>
      <c r="S195" s="26"/>
    </row>
    <row r="196" spans="4:19" x14ac:dyDescent="0.3">
      <c r="S196" s="26"/>
    </row>
    <row r="197" spans="4:19" x14ac:dyDescent="0.3">
      <c r="M197" s="368" t="s">
        <v>134</v>
      </c>
      <c r="N197" s="368"/>
      <c r="O197" s="368"/>
      <c r="P197" s="368"/>
      <c r="Q197" s="49">
        <f>Q199+Q190</f>
        <v>1.9</v>
      </c>
      <c r="R197" s="48" t="s">
        <v>68</v>
      </c>
      <c r="S197" s="26"/>
    </row>
    <row r="198" spans="4:19" x14ac:dyDescent="0.3">
      <c r="S198" s="26"/>
    </row>
    <row r="199" spans="4:19" x14ac:dyDescent="0.3">
      <c r="N199" s="370" t="s">
        <v>550</v>
      </c>
      <c r="O199" s="370"/>
      <c r="P199" s="370"/>
      <c r="Q199" s="230">
        <f>Sheet3!G94*Sheet3!P94/10000</f>
        <v>1.9</v>
      </c>
      <c r="R199" s="67" t="s">
        <v>68</v>
      </c>
      <c r="S199" s="26"/>
    </row>
    <row r="200" spans="4:19" x14ac:dyDescent="0.3">
      <c r="S200" s="26"/>
    </row>
    <row r="201" spans="4:19" x14ac:dyDescent="0.3">
      <c r="D201" s="26"/>
      <c r="E201" s="26"/>
      <c r="F201" s="26"/>
      <c r="G201" s="26"/>
      <c r="H201" s="26"/>
      <c r="I201" s="26"/>
      <c r="J201" s="26"/>
      <c r="K201" s="26"/>
      <c r="L201" s="26"/>
      <c r="M201" s="26"/>
      <c r="N201" s="26"/>
      <c r="O201" s="26"/>
      <c r="P201" s="26"/>
      <c r="Q201" s="26"/>
      <c r="R201" s="26"/>
      <c r="S201" s="26"/>
    </row>
    <row r="202" spans="4:19" x14ac:dyDescent="0.3">
      <c r="N202" s="39"/>
      <c r="O202" s="39"/>
      <c r="P202" s="39"/>
      <c r="Q202" s="12"/>
    </row>
    <row r="204" spans="4:19" x14ac:dyDescent="0.3">
      <c r="Q204" s="310"/>
    </row>
    <row r="205" spans="4:19" x14ac:dyDescent="0.3">
      <c r="Q205" s="311"/>
    </row>
    <row r="208" spans="4:19" x14ac:dyDescent="0.3">
      <c r="N208" s="39"/>
      <c r="O208" s="39"/>
      <c r="P208" s="39"/>
      <c r="Q208" s="12"/>
    </row>
    <row r="213" spans="1:17" x14ac:dyDescent="0.3">
      <c r="A213" s="26"/>
      <c r="B213" s="26"/>
      <c r="C213" s="26"/>
    </row>
    <row r="214" spans="1:17" x14ac:dyDescent="0.3">
      <c r="A214" s="26"/>
      <c r="B214" s="26"/>
      <c r="C214" s="26"/>
    </row>
    <row r="215" spans="1:17" x14ac:dyDescent="0.3">
      <c r="N215" s="39"/>
      <c r="O215" s="39"/>
      <c r="P215" s="39"/>
      <c r="Q215" s="12"/>
    </row>
    <row r="216" spans="1:17" x14ac:dyDescent="0.3">
      <c r="L216" s="39"/>
      <c r="M216" s="39"/>
      <c r="N216" s="39"/>
      <c r="O216" s="39"/>
      <c r="P216" s="39"/>
      <c r="Q216" s="12"/>
    </row>
    <row r="221" spans="1:17" x14ac:dyDescent="0.3">
      <c r="C221" s="51"/>
    </row>
    <row r="223" spans="1:17" ht="17.399999999999999" x14ac:dyDescent="0.3">
      <c r="M223" s="54"/>
      <c r="N223" s="54"/>
      <c r="O223" s="54"/>
      <c r="P223" s="54"/>
    </row>
    <row r="224" spans="1:17" x14ac:dyDescent="0.3">
      <c r="J224" s="39"/>
      <c r="M224" s="39"/>
      <c r="Q224" s="39"/>
    </row>
    <row r="225" spans="10:17" x14ac:dyDescent="0.3">
      <c r="K225" s="311"/>
      <c r="L225" s="311"/>
      <c r="M225" s="311"/>
      <c r="N225" s="311"/>
      <c r="O225" s="311"/>
    </row>
    <row r="226" spans="10:17" x14ac:dyDescent="0.3">
      <c r="N226" s="311"/>
      <c r="O226" s="311"/>
      <c r="P226" s="311"/>
    </row>
    <row r="229" spans="10:17" x14ac:dyDescent="0.3">
      <c r="M229" s="311"/>
      <c r="N229" s="311"/>
      <c r="O229" s="311"/>
      <c r="P229" s="311"/>
    </row>
    <row r="231" spans="10:17" x14ac:dyDescent="0.3">
      <c r="J231" s="1"/>
      <c r="K231" s="1"/>
      <c r="L231" s="1"/>
      <c r="M231" s="311"/>
      <c r="N231" s="311"/>
      <c r="O231" s="311"/>
      <c r="P231" s="311"/>
      <c r="Q231" s="1"/>
    </row>
    <row r="232" spans="10:17" x14ac:dyDescent="0.3">
      <c r="J232" s="1"/>
      <c r="K232" s="1"/>
      <c r="L232" s="1"/>
      <c r="M232" s="1"/>
      <c r="N232" s="1"/>
      <c r="O232" s="1"/>
      <c r="P232" s="12"/>
      <c r="Q232" s="1"/>
    </row>
    <row r="233" spans="10:17" x14ac:dyDescent="0.3">
      <c r="J233" s="1"/>
      <c r="K233" s="1"/>
      <c r="L233" s="1"/>
      <c r="M233" s="1"/>
      <c r="N233" s="1"/>
      <c r="O233" s="1"/>
      <c r="P233" s="1"/>
      <c r="Q233" s="1"/>
    </row>
    <row r="234" spans="10:17" x14ac:dyDescent="0.3">
      <c r="J234" s="1"/>
      <c r="K234" s="1"/>
      <c r="L234" s="1"/>
      <c r="M234" s="1"/>
      <c r="N234" s="1"/>
      <c r="O234" s="37"/>
      <c r="P234" s="37"/>
      <c r="Q234" s="1"/>
    </row>
    <row r="235" spans="10:17" x14ac:dyDescent="0.3">
      <c r="J235" s="1"/>
      <c r="K235" s="1"/>
      <c r="L235" s="1"/>
      <c r="M235" s="1"/>
      <c r="N235" s="1"/>
      <c r="O235" s="1"/>
      <c r="P235" s="1"/>
      <c r="Q235" s="1"/>
    </row>
    <row r="236" spans="10:17" x14ac:dyDescent="0.3">
      <c r="J236" s="1"/>
      <c r="K236" s="1"/>
      <c r="L236" s="1"/>
      <c r="M236" s="1"/>
      <c r="N236" s="1"/>
      <c r="O236" s="1"/>
      <c r="P236" s="1"/>
      <c r="Q236" s="1"/>
    </row>
    <row r="237" spans="10:17" x14ac:dyDescent="0.3">
      <c r="J237" s="1"/>
      <c r="K237" s="1"/>
      <c r="L237" s="1"/>
      <c r="M237" s="1"/>
      <c r="N237" s="137"/>
      <c r="O237" s="137"/>
      <c r="P237" s="137"/>
      <c r="Q237" s="12"/>
    </row>
    <row r="238" spans="10:17" x14ac:dyDescent="0.3">
      <c r="J238" s="1"/>
      <c r="K238" s="1"/>
      <c r="L238" s="1"/>
      <c r="M238" s="1"/>
      <c r="N238" s="1"/>
      <c r="O238" s="1"/>
      <c r="P238" s="1"/>
      <c r="Q238" s="1"/>
    </row>
    <row r="239" spans="10:17" x14ac:dyDescent="0.3">
      <c r="J239" s="1"/>
      <c r="K239" s="1"/>
      <c r="L239" s="1"/>
      <c r="M239" s="312"/>
      <c r="Q239" s="1"/>
    </row>
    <row r="240" spans="10:17" x14ac:dyDescent="0.3">
      <c r="J240" s="1"/>
      <c r="K240" s="1"/>
      <c r="L240" s="1"/>
      <c r="M240" s="312"/>
      <c r="Q240" s="1"/>
    </row>
    <row r="241" spans="10:18" x14ac:dyDescent="0.3">
      <c r="J241" s="1"/>
      <c r="K241" s="1"/>
      <c r="L241" s="1"/>
      <c r="M241" s="1"/>
      <c r="N241" s="1"/>
      <c r="O241" s="1"/>
      <c r="P241" s="1"/>
      <c r="Q241" s="1"/>
    </row>
    <row r="242" spans="10:18" x14ac:dyDescent="0.3">
      <c r="J242" s="1"/>
      <c r="K242" s="1"/>
      <c r="L242" s="1"/>
      <c r="M242" s="1"/>
      <c r="N242" s="1"/>
      <c r="O242" s="1"/>
      <c r="P242" s="1"/>
      <c r="Q242" s="1"/>
    </row>
    <row r="243" spans="10:18" x14ac:dyDescent="0.3">
      <c r="J243" s="1"/>
      <c r="K243" s="1"/>
      <c r="L243" s="1"/>
      <c r="M243" s="1"/>
      <c r="N243" s="137"/>
      <c r="O243" s="137"/>
      <c r="P243" s="137"/>
      <c r="Q243" s="12"/>
    </row>
    <row r="245" spans="10:18" x14ac:dyDescent="0.3">
      <c r="R245" s="39"/>
    </row>
    <row r="248" spans="10:18" x14ac:dyDescent="0.3">
      <c r="L248" s="39"/>
      <c r="M248" s="39"/>
      <c r="N248" s="39"/>
      <c r="O248" s="39"/>
      <c r="P248" s="39"/>
      <c r="Q248" s="12"/>
    </row>
    <row r="251" spans="10:18" x14ac:dyDescent="0.3">
      <c r="L251" s="252"/>
    </row>
    <row r="260" spans="12:17" x14ac:dyDescent="0.3">
      <c r="O260" s="12"/>
    </row>
    <row r="261" spans="12:17" x14ac:dyDescent="0.3">
      <c r="L261" s="39"/>
      <c r="M261" s="39"/>
      <c r="N261" s="39"/>
      <c r="O261" s="39"/>
      <c r="P261" s="39"/>
      <c r="Q261" s="12"/>
    </row>
    <row r="264" spans="12:17" x14ac:dyDescent="0.3">
      <c r="L264" s="252"/>
    </row>
    <row r="265" spans="12:17" x14ac:dyDescent="0.3">
      <c r="P265" s="3"/>
    </row>
    <row r="269" spans="12:17" x14ac:dyDescent="0.3">
      <c r="M269" s="252"/>
      <c r="N269" s="252"/>
      <c r="O269" s="252"/>
      <c r="P269" s="252"/>
      <c r="Q269" s="1"/>
    </row>
    <row r="271" spans="12:17" x14ac:dyDescent="0.3">
      <c r="Q271" s="1"/>
    </row>
    <row r="272" spans="12:17" x14ac:dyDescent="0.3">
      <c r="Q272" s="1"/>
    </row>
    <row r="283" spans="12:17" x14ac:dyDescent="0.3">
      <c r="L283" s="39"/>
      <c r="M283" s="39"/>
      <c r="N283" s="39"/>
      <c r="O283" s="39"/>
      <c r="P283" s="39"/>
      <c r="Q283" s="12"/>
    </row>
    <row r="285" spans="12:17" x14ac:dyDescent="0.3">
      <c r="O285" s="39"/>
    </row>
    <row r="288" spans="12:17" x14ac:dyDescent="0.3">
      <c r="L288" s="39"/>
      <c r="M288" s="39"/>
      <c r="N288" s="39"/>
      <c r="O288" s="39"/>
      <c r="P288" s="39"/>
      <c r="Q288" s="12"/>
    </row>
    <row r="291" spans="12:17" x14ac:dyDescent="0.3">
      <c r="N291" s="3"/>
    </row>
    <row r="292" spans="12:17" x14ac:dyDescent="0.3">
      <c r="P292" s="3"/>
    </row>
    <row r="293" spans="12:17" x14ac:dyDescent="0.3">
      <c r="N293" s="235"/>
    </row>
    <row r="298" spans="12:17" x14ac:dyDescent="0.3">
      <c r="L298" s="39"/>
      <c r="M298" s="39"/>
      <c r="N298" s="39"/>
      <c r="O298" s="39"/>
      <c r="P298" s="39"/>
      <c r="Q298" s="12"/>
    </row>
    <row r="302" spans="12:17" x14ac:dyDescent="0.3">
      <c r="P302" s="235"/>
    </row>
    <row r="305" spans="3:17" x14ac:dyDescent="0.3">
      <c r="L305" s="39"/>
      <c r="M305" s="39"/>
      <c r="N305" s="39"/>
      <c r="O305" s="39"/>
      <c r="P305" s="39"/>
      <c r="Q305" s="313"/>
    </row>
    <row r="312" spans="3:17" x14ac:dyDescent="0.3">
      <c r="N312" s="39"/>
      <c r="O312" s="39"/>
      <c r="P312" s="39"/>
      <c r="Q312" s="12"/>
    </row>
    <row r="317" spans="3:17" x14ac:dyDescent="0.3">
      <c r="C317" s="50"/>
    </row>
    <row r="318" spans="3:17" x14ac:dyDescent="0.3">
      <c r="F318" s="39"/>
      <c r="G318" s="39"/>
      <c r="H318" s="39"/>
      <c r="I318" s="39"/>
      <c r="N318" s="39"/>
      <c r="O318" s="39"/>
      <c r="P318" s="39"/>
      <c r="Q318" s="12"/>
    </row>
    <row r="320" spans="3:17" x14ac:dyDescent="0.3">
      <c r="F320" s="12"/>
      <c r="G320" s="12"/>
      <c r="H320" s="12"/>
      <c r="I320" s="12"/>
    </row>
    <row r="332" spans="19:19" x14ac:dyDescent="0.3">
      <c r="S332" s="26"/>
    </row>
    <row r="333" spans="19:19" x14ac:dyDescent="0.3">
      <c r="S333" s="26"/>
    </row>
    <row r="334" spans="19:19" x14ac:dyDescent="0.3">
      <c r="S334" s="26"/>
    </row>
    <row r="335" spans="19:19" x14ac:dyDescent="0.3">
      <c r="S335" s="26"/>
    </row>
    <row r="336" spans="19:19" x14ac:dyDescent="0.3">
      <c r="S336" s="26"/>
    </row>
    <row r="337" spans="19:19" x14ac:dyDescent="0.3">
      <c r="S337" s="26"/>
    </row>
    <row r="338" spans="19:19" x14ac:dyDescent="0.3">
      <c r="S338" s="26"/>
    </row>
    <row r="339" spans="19:19" x14ac:dyDescent="0.3">
      <c r="S339" s="26"/>
    </row>
    <row r="340" spans="19:19" x14ac:dyDescent="0.3">
      <c r="S340" s="26"/>
    </row>
    <row r="341" spans="19:19" x14ac:dyDescent="0.3">
      <c r="S341" s="26"/>
    </row>
    <row r="342" spans="19:19" x14ac:dyDescent="0.3">
      <c r="S342" s="26"/>
    </row>
    <row r="343" spans="19:19" x14ac:dyDescent="0.3">
      <c r="S343" s="26"/>
    </row>
    <row r="344" spans="19:19" x14ac:dyDescent="0.3">
      <c r="S344" s="26"/>
    </row>
    <row r="345" spans="19:19" x14ac:dyDescent="0.3">
      <c r="S345" s="26"/>
    </row>
    <row r="346" spans="19:19" x14ac:dyDescent="0.3">
      <c r="S346" s="26"/>
    </row>
    <row r="347" spans="19:19" x14ac:dyDescent="0.3">
      <c r="S347" s="26"/>
    </row>
    <row r="348" spans="19:19" x14ac:dyDescent="0.3">
      <c r="S348" s="26"/>
    </row>
    <row r="349" spans="19:19" x14ac:dyDescent="0.3">
      <c r="S349" s="26"/>
    </row>
    <row r="350" spans="19:19" x14ac:dyDescent="0.3">
      <c r="S350" s="26"/>
    </row>
    <row r="351" spans="19:19" x14ac:dyDescent="0.3">
      <c r="S351" s="26"/>
    </row>
    <row r="352" spans="19:19" x14ac:dyDescent="0.3">
      <c r="S352" s="26"/>
    </row>
    <row r="353" spans="19:19" x14ac:dyDescent="0.3">
      <c r="S353" s="26"/>
    </row>
    <row r="354" spans="19:19" x14ac:dyDescent="0.3">
      <c r="S354" s="26"/>
    </row>
    <row r="355" spans="19:19" x14ac:dyDescent="0.3">
      <c r="S355" s="26"/>
    </row>
    <row r="356" spans="19:19" x14ac:dyDescent="0.3">
      <c r="S356" s="26"/>
    </row>
    <row r="357" spans="19:19" x14ac:dyDescent="0.3">
      <c r="S357" s="26"/>
    </row>
    <row r="358" spans="19:19" x14ac:dyDescent="0.3">
      <c r="S358" s="26"/>
    </row>
    <row r="359" spans="19:19" x14ac:dyDescent="0.3">
      <c r="S359" s="26"/>
    </row>
    <row r="360" spans="19:19" x14ac:dyDescent="0.3">
      <c r="S360" s="26"/>
    </row>
    <row r="361" spans="19:19" x14ac:dyDescent="0.3">
      <c r="S361" s="26"/>
    </row>
    <row r="362" spans="19:19" x14ac:dyDescent="0.3">
      <c r="S362" s="26"/>
    </row>
    <row r="363" spans="19:19" x14ac:dyDescent="0.3">
      <c r="S363" s="26"/>
    </row>
    <row r="364" spans="19:19" x14ac:dyDescent="0.3">
      <c r="S364" s="26"/>
    </row>
    <row r="365" spans="19:19" x14ac:dyDescent="0.3">
      <c r="S365" s="26"/>
    </row>
    <row r="366" spans="19:19" x14ac:dyDescent="0.3">
      <c r="S366" s="26"/>
    </row>
    <row r="367" spans="19:19" x14ac:dyDescent="0.3">
      <c r="S367" s="26"/>
    </row>
    <row r="368" spans="19:19" x14ac:dyDescent="0.3">
      <c r="S368" s="26"/>
    </row>
    <row r="369" spans="19:19" x14ac:dyDescent="0.3">
      <c r="S369" s="26"/>
    </row>
    <row r="370" spans="19:19" x14ac:dyDescent="0.3">
      <c r="S370" s="26"/>
    </row>
    <row r="371" spans="19:19" x14ac:dyDescent="0.3">
      <c r="S371" s="26"/>
    </row>
    <row r="372" spans="19:19" x14ac:dyDescent="0.3">
      <c r="S372" s="26"/>
    </row>
    <row r="373" spans="19:19" x14ac:dyDescent="0.3">
      <c r="S373" s="26"/>
    </row>
    <row r="374" spans="19:19" x14ac:dyDescent="0.3">
      <c r="S374" s="26"/>
    </row>
    <row r="375" spans="19:19" x14ac:dyDescent="0.3">
      <c r="S375" s="26"/>
    </row>
    <row r="376" spans="19:19" x14ac:dyDescent="0.3">
      <c r="S376" s="26"/>
    </row>
    <row r="377" spans="19:19" x14ac:dyDescent="0.3">
      <c r="S377" s="26"/>
    </row>
    <row r="378" spans="19:19" x14ac:dyDescent="0.3">
      <c r="S378" s="26"/>
    </row>
    <row r="379" spans="19:19" x14ac:dyDescent="0.3">
      <c r="S379" s="26"/>
    </row>
    <row r="380" spans="19:19" x14ac:dyDescent="0.3">
      <c r="S380" s="26"/>
    </row>
    <row r="381" spans="19:19" x14ac:dyDescent="0.3">
      <c r="S381" s="26"/>
    </row>
    <row r="382" spans="19:19" x14ac:dyDescent="0.3">
      <c r="S382" s="26"/>
    </row>
    <row r="383" spans="19:19" x14ac:dyDescent="0.3">
      <c r="S383" s="26"/>
    </row>
    <row r="384" spans="19:19" x14ac:dyDescent="0.3">
      <c r="S384" s="26"/>
    </row>
    <row r="385" spans="19:19" x14ac:dyDescent="0.3">
      <c r="S385" s="26"/>
    </row>
    <row r="386" spans="19:19" x14ac:dyDescent="0.3">
      <c r="S386" s="26"/>
    </row>
    <row r="387" spans="19:19" x14ac:dyDescent="0.3">
      <c r="S387" s="26"/>
    </row>
    <row r="388" spans="19:19" x14ac:dyDescent="0.3">
      <c r="S388" s="26"/>
    </row>
    <row r="389" spans="19:19" x14ac:dyDescent="0.3">
      <c r="S389" s="26"/>
    </row>
    <row r="390" spans="19:19" x14ac:dyDescent="0.3">
      <c r="S390" s="26"/>
    </row>
    <row r="391" spans="19:19" x14ac:dyDescent="0.3">
      <c r="S391" s="26"/>
    </row>
    <row r="392" spans="19:19" x14ac:dyDescent="0.3">
      <c r="S392" s="26"/>
    </row>
    <row r="393" spans="19:19" x14ac:dyDescent="0.3">
      <c r="S393" s="26"/>
    </row>
    <row r="394" spans="19:19" x14ac:dyDescent="0.3">
      <c r="S394" s="26"/>
    </row>
    <row r="395" spans="19:19" x14ac:dyDescent="0.3">
      <c r="S395" s="26"/>
    </row>
    <row r="396" spans="19:19" x14ac:dyDescent="0.3">
      <c r="S396" s="26"/>
    </row>
    <row r="397" spans="19:19" x14ac:dyDescent="0.3">
      <c r="S397" s="26"/>
    </row>
    <row r="398" spans="19:19" x14ac:dyDescent="0.3">
      <c r="S398" s="26"/>
    </row>
    <row r="399" spans="19:19" x14ac:dyDescent="0.3">
      <c r="S399" s="26"/>
    </row>
    <row r="400" spans="19:19" x14ac:dyDescent="0.3">
      <c r="S400" s="26"/>
    </row>
    <row r="401" spans="19:19" x14ac:dyDescent="0.3">
      <c r="S401" s="26"/>
    </row>
    <row r="402" spans="19:19" x14ac:dyDescent="0.3">
      <c r="S402" s="26"/>
    </row>
    <row r="403" spans="19:19" x14ac:dyDescent="0.3">
      <c r="S403" s="26"/>
    </row>
    <row r="404" spans="19:19" x14ac:dyDescent="0.3">
      <c r="S404" s="26"/>
    </row>
    <row r="405" spans="19:19" x14ac:dyDescent="0.3">
      <c r="S405" s="26"/>
    </row>
    <row r="406" spans="19:19" x14ac:dyDescent="0.3">
      <c r="S406" s="26"/>
    </row>
    <row r="407" spans="19:19" x14ac:dyDescent="0.3">
      <c r="S407" s="26"/>
    </row>
    <row r="408" spans="19:19" x14ac:dyDescent="0.3">
      <c r="S408" s="26"/>
    </row>
    <row r="409" spans="19:19" x14ac:dyDescent="0.3">
      <c r="S409" s="26"/>
    </row>
    <row r="410" spans="19:19" x14ac:dyDescent="0.3">
      <c r="S410" s="26"/>
    </row>
    <row r="411" spans="19:19" x14ac:dyDescent="0.3">
      <c r="S411" s="26"/>
    </row>
    <row r="412" spans="19:19" x14ac:dyDescent="0.3">
      <c r="S412" s="26"/>
    </row>
    <row r="413" spans="19:19" x14ac:dyDescent="0.3">
      <c r="S413" s="26"/>
    </row>
    <row r="414" spans="19:19" x14ac:dyDescent="0.3">
      <c r="S414" s="26"/>
    </row>
    <row r="415" spans="19:19" x14ac:dyDescent="0.3">
      <c r="S415" s="26"/>
    </row>
    <row r="416" spans="19:19" x14ac:dyDescent="0.3">
      <c r="S416" s="26"/>
    </row>
    <row r="417" spans="19:19" x14ac:dyDescent="0.3">
      <c r="S417" s="26"/>
    </row>
    <row r="418" spans="19:19" x14ac:dyDescent="0.3">
      <c r="S418" s="26"/>
    </row>
    <row r="419" spans="19:19" x14ac:dyDescent="0.3">
      <c r="S419" s="26"/>
    </row>
    <row r="420" spans="19:19" x14ac:dyDescent="0.3">
      <c r="S420" s="26"/>
    </row>
    <row r="421" spans="19:19" x14ac:dyDescent="0.3">
      <c r="S421" s="26"/>
    </row>
    <row r="422" spans="19:19" x14ac:dyDescent="0.3">
      <c r="S422" s="26"/>
    </row>
    <row r="423" spans="19:19" x14ac:dyDescent="0.3">
      <c r="S423" s="26"/>
    </row>
    <row r="424" spans="19:19" x14ac:dyDescent="0.3">
      <c r="S424" s="26"/>
    </row>
    <row r="425" spans="19:19" x14ac:dyDescent="0.3">
      <c r="S425" s="26"/>
    </row>
    <row r="426" spans="19:19" x14ac:dyDescent="0.3">
      <c r="S426" s="26"/>
    </row>
    <row r="427" spans="19:19" x14ac:dyDescent="0.3">
      <c r="S427" s="26"/>
    </row>
    <row r="428" spans="19:19" x14ac:dyDescent="0.3">
      <c r="S428" s="26"/>
    </row>
  </sheetData>
  <mergeCells count="105">
    <mergeCell ref="L174:P174"/>
    <mergeCell ref="L179:P179"/>
    <mergeCell ref="M181:P181"/>
    <mergeCell ref="L183:O183"/>
    <mergeCell ref="O168:P168"/>
    <mergeCell ref="O169:P169"/>
    <mergeCell ref="L171:P171"/>
    <mergeCell ref="I11:J11"/>
    <mergeCell ref="I7:J7"/>
    <mergeCell ref="I26:L26"/>
    <mergeCell ref="M11:N11"/>
    <mergeCell ref="L152:P152"/>
    <mergeCell ref="M143:N143"/>
    <mergeCell ref="M160:P160"/>
    <mergeCell ref="M163:P163"/>
    <mergeCell ref="N159:P159"/>
    <mergeCell ref="L139:P139"/>
    <mergeCell ref="L141:N141"/>
    <mergeCell ref="J141:K141"/>
    <mergeCell ref="Q98:R98"/>
    <mergeCell ref="N104:P104"/>
    <mergeCell ref="N106:P106"/>
    <mergeCell ref="H86:J86"/>
    <mergeCell ref="M89:P89"/>
    <mergeCell ref="M90:P90"/>
    <mergeCell ref="I12:J12"/>
    <mergeCell ref="I13:J13"/>
    <mergeCell ref="I14:J14"/>
    <mergeCell ref="I15:J15"/>
    <mergeCell ref="M83:P83"/>
    <mergeCell ref="M84:P84"/>
    <mergeCell ref="K85:O85"/>
    <mergeCell ref="M91:P91"/>
    <mergeCell ref="J84:L84"/>
    <mergeCell ref="L88:O88"/>
    <mergeCell ref="I25:L25"/>
    <mergeCell ref="B44:C44"/>
    <mergeCell ref="C48:O48"/>
    <mergeCell ref="L45:M45"/>
    <mergeCell ref="J41:L41"/>
    <mergeCell ref="H41:I41"/>
    <mergeCell ref="J43:L43"/>
    <mergeCell ref="H43:I43"/>
    <mergeCell ref="C43:G43"/>
    <mergeCell ref="I5:J5"/>
    <mergeCell ref="I9:J9"/>
    <mergeCell ref="I10:J10"/>
    <mergeCell ref="D37:E37"/>
    <mergeCell ref="K34:O34"/>
    <mergeCell ref="A17:F17"/>
    <mergeCell ref="I6:J6"/>
    <mergeCell ref="I23:L23"/>
    <mergeCell ref="M5:N5"/>
    <mergeCell ref="M6:N6"/>
    <mergeCell ref="M9:N9"/>
    <mergeCell ref="M10:N10"/>
    <mergeCell ref="E38:F38"/>
    <mergeCell ref="F41:G41"/>
    <mergeCell ref="I1:J1"/>
    <mergeCell ref="I2:J2"/>
    <mergeCell ref="I3:J3"/>
    <mergeCell ref="I16:L16"/>
    <mergeCell ref="M87:O87"/>
    <mergeCell ref="H85:J85"/>
    <mergeCell ref="K36:O36"/>
    <mergeCell ref="I39:P39"/>
    <mergeCell ref="M2:N2"/>
    <mergeCell ref="M3:N3"/>
    <mergeCell ref="M7:N7"/>
    <mergeCell ref="M12:N12"/>
    <mergeCell ref="M13:N13"/>
    <mergeCell ref="M14:N14"/>
    <mergeCell ref="K38:P38"/>
    <mergeCell ref="O4:T4"/>
    <mergeCell ref="T14:V14"/>
    <mergeCell ref="I4:J4"/>
    <mergeCell ref="I22:L22"/>
    <mergeCell ref="M4:N4"/>
    <mergeCell ref="I24:L24"/>
    <mergeCell ref="P3:R3"/>
    <mergeCell ref="M1:N1"/>
    <mergeCell ref="L188:P188"/>
    <mergeCell ref="M190:P190"/>
    <mergeCell ref="K192:M192"/>
    <mergeCell ref="L195:P195"/>
    <mergeCell ref="M197:P197"/>
    <mergeCell ref="N199:P199"/>
    <mergeCell ref="O96:P96"/>
    <mergeCell ref="L155:P155"/>
    <mergeCell ref="L157:P157"/>
    <mergeCell ref="L158:P158"/>
    <mergeCell ref="K160:L160"/>
    <mergeCell ref="N107:P107"/>
    <mergeCell ref="N111:P111"/>
    <mergeCell ref="M185:O185"/>
    <mergeCell ref="L116:Q116"/>
    <mergeCell ref="M144:N144"/>
    <mergeCell ref="I146:Q146"/>
    <mergeCell ref="M148:N148"/>
    <mergeCell ref="J148:K148"/>
    <mergeCell ref="L137:P137"/>
    <mergeCell ref="K165:P165"/>
    <mergeCell ref="L161:P161"/>
    <mergeCell ref="L162:P162"/>
    <mergeCell ref="K167:P16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10"/>
  <sheetViews>
    <sheetView topLeftCell="A105" workbookViewId="0">
      <selection activeCell="I14" sqref="I14"/>
    </sheetView>
  </sheetViews>
  <sheetFormatPr defaultRowHeight="15.6" x14ac:dyDescent="0.3"/>
  <sheetData>
    <row r="1" spans="1:19" x14ac:dyDescent="0.3">
      <c r="A1" s="97"/>
      <c r="S1" s="97"/>
    </row>
    <row r="2" spans="1:19" x14ac:dyDescent="0.3">
      <c r="A2" s="98"/>
      <c r="S2" s="98"/>
    </row>
    <row r="3" spans="1:19" ht="16.2" thickBot="1" x14ac:dyDescent="0.35">
      <c r="A3" s="99"/>
      <c r="S3" s="98"/>
    </row>
    <row r="4" spans="1:19" x14ac:dyDescent="0.3">
      <c r="A4" s="97"/>
      <c r="S4" s="98"/>
    </row>
    <row r="5" spans="1:19" x14ac:dyDescent="0.3">
      <c r="A5" s="98"/>
      <c r="S5" s="98"/>
    </row>
    <row r="6" spans="1:19" x14ac:dyDescent="0.3">
      <c r="A6" s="98"/>
      <c r="S6" s="98"/>
    </row>
    <row r="7" spans="1:19" x14ac:dyDescent="0.3">
      <c r="A7" s="98"/>
      <c r="S7" s="98"/>
    </row>
    <row r="8" spans="1:19" x14ac:dyDescent="0.3">
      <c r="A8" s="98"/>
      <c r="S8" s="98"/>
    </row>
    <row r="9" spans="1:19" x14ac:dyDescent="0.3">
      <c r="A9" s="98"/>
      <c r="S9" s="98"/>
    </row>
    <row r="10" spans="1:19" x14ac:dyDescent="0.3">
      <c r="A10" s="98"/>
      <c r="S10" s="98"/>
    </row>
    <row r="11" spans="1:19" x14ac:dyDescent="0.3">
      <c r="A11" s="98"/>
      <c r="S11" s="98"/>
    </row>
    <row r="12" spans="1:19" x14ac:dyDescent="0.3">
      <c r="A12" s="98"/>
      <c r="S12" s="98"/>
    </row>
    <row r="13" spans="1:19" x14ac:dyDescent="0.3">
      <c r="A13" s="98"/>
      <c r="S13" s="98"/>
    </row>
    <row r="14" spans="1:19" x14ac:dyDescent="0.3">
      <c r="A14" s="98"/>
      <c r="S14" s="98"/>
    </row>
    <row r="15" spans="1:19" x14ac:dyDescent="0.3">
      <c r="A15" s="98"/>
      <c r="S15" s="98"/>
    </row>
    <row r="16" spans="1:19" x14ac:dyDescent="0.3">
      <c r="A16" s="98"/>
      <c r="S16" s="98"/>
    </row>
    <row r="17" spans="1:19" x14ac:dyDescent="0.3">
      <c r="A17" s="98"/>
      <c r="S17" s="98"/>
    </row>
    <row r="18" spans="1:19" ht="16.2" thickBot="1" x14ac:dyDescent="0.35">
      <c r="A18" s="98"/>
      <c r="O18" s="463" t="s">
        <v>395</v>
      </c>
      <c r="P18" s="463"/>
      <c r="S18" s="99"/>
    </row>
    <row r="19" spans="1:19" ht="16.2" thickBot="1" x14ac:dyDescent="0.35">
      <c r="A19" s="98"/>
      <c r="B19" s="243"/>
      <c r="C19" s="244"/>
      <c r="D19" s="244"/>
      <c r="E19" s="244"/>
      <c r="F19" s="244"/>
      <c r="G19" s="244"/>
      <c r="H19" s="244"/>
      <c r="I19" s="244"/>
      <c r="J19" s="244"/>
      <c r="K19" s="244"/>
      <c r="L19" s="244"/>
      <c r="M19" s="244"/>
      <c r="N19" s="241"/>
      <c r="O19" s="241"/>
      <c r="P19" s="241"/>
      <c r="Q19" s="242"/>
      <c r="S19" s="97"/>
    </row>
    <row r="20" spans="1:19" x14ac:dyDescent="0.3">
      <c r="A20" s="98"/>
      <c r="B20" s="245"/>
      <c r="C20" s="246"/>
      <c r="D20" s="246"/>
      <c r="E20" s="246"/>
      <c r="F20" s="246"/>
      <c r="G20" s="246"/>
      <c r="H20" s="246"/>
      <c r="I20" s="246"/>
      <c r="J20" s="246"/>
      <c r="K20" s="246"/>
      <c r="L20" s="246"/>
      <c r="M20" s="246"/>
      <c r="N20" s="246"/>
      <c r="O20" s="246"/>
      <c r="P20" s="246"/>
      <c r="Q20" s="247"/>
      <c r="S20" s="98"/>
    </row>
    <row r="21" spans="1:19" ht="16.2" thickBot="1" x14ac:dyDescent="0.35">
      <c r="A21" s="98"/>
      <c r="B21" s="248"/>
      <c r="C21" s="249"/>
      <c r="D21" s="249"/>
      <c r="E21" s="249"/>
      <c r="F21" s="249"/>
      <c r="G21" s="249"/>
      <c r="H21" s="249"/>
      <c r="I21" s="249"/>
      <c r="J21" s="249"/>
      <c r="K21" s="251" t="s">
        <v>394</v>
      </c>
      <c r="L21" s="249"/>
      <c r="M21" s="249"/>
      <c r="N21" s="249"/>
      <c r="O21" s="249"/>
      <c r="P21" s="249"/>
      <c r="Q21" s="250"/>
      <c r="S21" s="98"/>
    </row>
    <row r="22" spans="1:19" x14ac:dyDescent="0.3">
      <c r="A22" s="98"/>
      <c r="S22" s="98"/>
    </row>
    <row r="23" spans="1:19" x14ac:dyDescent="0.3">
      <c r="A23" s="98"/>
      <c r="S23" s="98"/>
    </row>
    <row r="24" spans="1:19" ht="17.399999999999999" x14ac:dyDescent="0.3">
      <c r="A24" s="98"/>
      <c r="E24" s="54"/>
      <c r="Q24" s="54"/>
      <c r="S24" s="98"/>
    </row>
    <row r="25" spans="1:19" x14ac:dyDescent="0.3">
      <c r="A25" s="231"/>
      <c r="S25" s="98"/>
    </row>
    <row r="26" spans="1:19" x14ac:dyDescent="0.3">
      <c r="A26" s="98"/>
      <c r="S26" s="98"/>
    </row>
    <row r="27" spans="1:19" x14ac:dyDescent="0.3">
      <c r="A27" s="98"/>
      <c r="S27" s="98"/>
    </row>
    <row r="28" spans="1:19" x14ac:dyDescent="0.3">
      <c r="A28" s="98"/>
      <c r="S28" s="98"/>
    </row>
    <row r="29" spans="1:19" x14ac:dyDescent="0.3">
      <c r="A29" s="98"/>
      <c r="S29" s="98"/>
    </row>
    <row r="30" spans="1:19" ht="16.2" thickBot="1" x14ac:dyDescent="0.35">
      <c r="A30" s="99"/>
      <c r="S30" s="98"/>
    </row>
    <row r="31" spans="1:19" x14ac:dyDescent="0.3">
      <c r="A31" s="98"/>
      <c r="S31" s="98"/>
    </row>
    <row r="32" spans="1:19" x14ac:dyDescent="0.3">
      <c r="A32" s="98"/>
      <c r="S32" s="98"/>
    </row>
    <row r="33" spans="1:19" x14ac:dyDescent="0.3">
      <c r="A33" s="98"/>
      <c r="S33" s="98"/>
    </row>
    <row r="34" spans="1:19" x14ac:dyDescent="0.3">
      <c r="A34" s="98"/>
      <c r="S34" s="98"/>
    </row>
    <row r="35" spans="1:19" x14ac:dyDescent="0.3">
      <c r="A35" s="98"/>
      <c r="S35" s="98"/>
    </row>
    <row r="36" spans="1:19" x14ac:dyDescent="0.3">
      <c r="A36" s="98"/>
      <c r="S36" s="98"/>
    </row>
    <row r="37" spans="1:19" x14ac:dyDescent="0.3">
      <c r="A37" s="98"/>
      <c r="S37" s="98"/>
    </row>
    <row r="38" spans="1:19" x14ac:dyDescent="0.3">
      <c r="A38" s="98"/>
      <c r="S38" s="98"/>
    </row>
    <row r="39" spans="1:19" x14ac:dyDescent="0.3">
      <c r="A39" s="98"/>
      <c r="S39" s="98"/>
    </row>
    <row r="40" spans="1:19" x14ac:dyDescent="0.3">
      <c r="A40" s="98"/>
      <c r="S40" s="98"/>
    </row>
    <row r="41" spans="1:19" x14ac:dyDescent="0.3">
      <c r="A41" s="98"/>
      <c r="S41" s="98"/>
    </row>
    <row r="42" spans="1:19" x14ac:dyDescent="0.3">
      <c r="A42" s="98"/>
      <c r="S42" s="98"/>
    </row>
    <row r="43" spans="1:19" x14ac:dyDescent="0.3">
      <c r="A43" s="98"/>
      <c r="S43" s="98"/>
    </row>
    <row r="44" spans="1:19" x14ac:dyDescent="0.3">
      <c r="A44" s="98"/>
      <c r="S44" s="98"/>
    </row>
    <row r="45" spans="1:19" x14ac:dyDescent="0.3">
      <c r="A45" s="98"/>
      <c r="S45" s="98"/>
    </row>
    <row r="46" spans="1:19" ht="16.2" thickBot="1" x14ac:dyDescent="0.35">
      <c r="A46" s="98"/>
      <c r="S46" s="98"/>
    </row>
    <row r="47" spans="1:19" x14ac:dyDescent="0.3">
      <c r="A47" s="97"/>
      <c r="S47" s="98"/>
    </row>
    <row r="48" spans="1:19" x14ac:dyDescent="0.3">
      <c r="A48" s="98"/>
      <c r="S48" s="98"/>
    </row>
    <row r="49" spans="1:19" x14ac:dyDescent="0.3">
      <c r="A49" s="98"/>
      <c r="S49" s="98"/>
    </row>
    <row r="50" spans="1:19" x14ac:dyDescent="0.3">
      <c r="A50" s="98"/>
      <c r="S50" s="98"/>
    </row>
    <row r="51" spans="1:19" x14ac:dyDescent="0.3">
      <c r="A51" s="98"/>
      <c r="S51" s="98"/>
    </row>
    <row r="52" spans="1:19" x14ac:dyDescent="0.3">
      <c r="A52" s="98"/>
      <c r="S52" s="98"/>
    </row>
    <row r="53" spans="1:19" x14ac:dyDescent="0.3">
      <c r="A53" s="98"/>
      <c r="S53" s="98"/>
    </row>
    <row r="54" spans="1:19" x14ac:dyDescent="0.3">
      <c r="A54" s="98"/>
      <c r="S54" s="98"/>
    </row>
    <row r="55" spans="1:19" ht="17.399999999999999" x14ac:dyDescent="0.3">
      <c r="A55" s="98"/>
      <c r="K55" s="232"/>
      <c r="S55" s="98"/>
    </row>
    <row r="56" spans="1:19" x14ac:dyDescent="0.3">
      <c r="A56" s="98"/>
      <c r="S56" s="98"/>
    </row>
    <row r="57" spans="1:19" x14ac:dyDescent="0.3">
      <c r="A57" s="98"/>
      <c r="N57" s="39"/>
      <c r="O57" s="39"/>
      <c r="S57" s="98"/>
    </row>
    <row r="58" spans="1:19" x14ac:dyDescent="0.3">
      <c r="A58" s="98"/>
      <c r="B58" s="234"/>
      <c r="C58" s="39"/>
      <c r="D58" s="39"/>
      <c r="E58" s="39"/>
      <c r="F58" s="39"/>
      <c r="S58" s="98"/>
    </row>
    <row r="59" spans="1:19" x14ac:dyDescent="0.3">
      <c r="A59" s="98"/>
      <c r="B59" s="12"/>
      <c r="C59" s="39"/>
      <c r="D59" s="39"/>
      <c r="E59" s="39"/>
      <c r="F59" s="39"/>
      <c r="S59" s="98"/>
    </row>
    <row r="60" spans="1:19" x14ac:dyDescent="0.3">
      <c r="A60" s="98"/>
      <c r="B60" s="12"/>
      <c r="C60" s="39"/>
      <c r="D60" s="39"/>
      <c r="E60" s="39"/>
      <c r="F60" s="39"/>
      <c r="L60" s="1"/>
      <c r="M60" s="1"/>
      <c r="N60" s="1"/>
      <c r="O60" s="1"/>
      <c r="S60" s="98"/>
    </row>
    <row r="61" spans="1:19" x14ac:dyDescent="0.3">
      <c r="A61" s="98"/>
      <c r="B61" s="235"/>
      <c r="L61" s="234"/>
      <c r="M61" s="1"/>
      <c r="N61" s="1"/>
      <c r="O61" s="1"/>
      <c r="S61" s="98"/>
    </row>
    <row r="62" spans="1:19" x14ac:dyDescent="0.3">
      <c r="A62" s="98"/>
      <c r="O62" s="1"/>
      <c r="S62" s="98"/>
    </row>
    <row r="63" spans="1:19" x14ac:dyDescent="0.3">
      <c r="A63" s="98"/>
      <c r="J63" s="3"/>
      <c r="M63" s="235"/>
      <c r="S63" s="98"/>
    </row>
    <row r="64" spans="1:19" x14ac:dyDescent="0.3">
      <c r="A64" s="98"/>
      <c r="C64" s="39"/>
      <c r="D64" s="39"/>
      <c r="S64" s="98"/>
    </row>
    <row r="65" spans="1:19" x14ac:dyDescent="0.3">
      <c r="A65" s="237"/>
      <c r="B65" s="37"/>
      <c r="C65" s="228"/>
      <c r="D65" s="228"/>
      <c r="E65" s="228"/>
      <c r="F65" s="228"/>
      <c r="G65" s="228"/>
      <c r="S65" s="98"/>
    </row>
    <row r="66" spans="1:19" x14ac:dyDescent="0.3">
      <c r="A66" s="238"/>
      <c r="B66" s="39"/>
      <c r="C66" s="12"/>
      <c r="D66" s="12"/>
      <c r="E66" s="12"/>
      <c r="F66" s="12"/>
      <c r="G66" s="12"/>
      <c r="S66" s="98"/>
    </row>
    <row r="67" spans="1:19" x14ac:dyDescent="0.3">
      <c r="A67" s="239"/>
      <c r="S67" s="98"/>
    </row>
    <row r="68" spans="1:19" x14ac:dyDescent="0.3">
      <c r="A68" s="98"/>
      <c r="S68" s="98"/>
    </row>
    <row r="69" spans="1:19" x14ac:dyDescent="0.3">
      <c r="A69" s="98"/>
      <c r="S69" s="98"/>
    </row>
    <row r="70" spans="1:19" x14ac:dyDescent="0.3">
      <c r="A70" s="98"/>
      <c r="S70" s="98"/>
    </row>
    <row r="71" spans="1:19" x14ac:dyDescent="0.3">
      <c r="A71" s="98"/>
      <c r="S71" s="98"/>
    </row>
    <row r="72" spans="1:19" x14ac:dyDescent="0.3">
      <c r="A72" s="240"/>
      <c r="B72" s="233"/>
      <c r="C72" s="233"/>
      <c r="D72" s="233"/>
      <c r="E72" s="233"/>
      <c r="F72" s="233"/>
      <c r="G72" s="233"/>
      <c r="H72" s="233"/>
      <c r="I72" s="233"/>
      <c r="S72" s="98"/>
    </row>
    <row r="73" spans="1:19" x14ac:dyDescent="0.3">
      <c r="A73" s="98"/>
      <c r="S73" s="98"/>
    </row>
    <row r="74" spans="1:19" x14ac:dyDescent="0.3">
      <c r="A74" s="98"/>
      <c r="S74" s="98"/>
    </row>
    <row r="75" spans="1:19" x14ac:dyDescent="0.3">
      <c r="A75" s="98"/>
      <c r="S75" s="98"/>
    </row>
    <row r="76" spans="1:19" x14ac:dyDescent="0.3">
      <c r="A76" s="98"/>
      <c r="S76" s="98"/>
    </row>
    <row r="77" spans="1:19" x14ac:dyDescent="0.3">
      <c r="A77" s="98"/>
      <c r="S77" s="98"/>
    </row>
    <row r="78" spans="1:19" x14ac:dyDescent="0.3">
      <c r="A78" s="98"/>
      <c r="S78" s="98"/>
    </row>
    <row r="79" spans="1:19" x14ac:dyDescent="0.3">
      <c r="A79" s="98"/>
      <c r="S79" s="98"/>
    </row>
    <row r="80" spans="1:19" x14ac:dyDescent="0.3">
      <c r="A80" s="98"/>
      <c r="S80" s="98"/>
    </row>
    <row r="81" spans="1:19" x14ac:dyDescent="0.3">
      <c r="A81" s="98"/>
      <c r="S81" s="98"/>
    </row>
    <row r="82" spans="1:19" x14ac:dyDescent="0.3">
      <c r="A82" s="98"/>
      <c r="S82" s="98"/>
    </row>
    <row r="83" spans="1:19" x14ac:dyDescent="0.3">
      <c r="A83" s="98"/>
      <c r="S83" s="98"/>
    </row>
    <row r="84" spans="1:19" x14ac:dyDescent="0.3">
      <c r="A84" s="98"/>
      <c r="S84" s="98"/>
    </row>
    <row r="85" spans="1:19" x14ac:dyDescent="0.3">
      <c r="A85" s="98"/>
      <c r="S85" s="98"/>
    </row>
    <row r="86" spans="1:19" x14ac:dyDescent="0.3">
      <c r="A86" s="98"/>
      <c r="S86" s="98"/>
    </row>
    <row r="87" spans="1:19" x14ac:dyDescent="0.3">
      <c r="A87" s="98"/>
      <c r="S87" s="98"/>
    </row>
    <row r="88" spans="1:19" x14ac:dyDescent="0.3">
      <c r="A88" s="98"/>
      <c r="S88" s="98"/>
    </row>
    <row r="89" spans="1:19" x14ac:dyDescent="0.3">
      <c r="A89" s="98"/>
      <c r="S89" s="98"/>
    </row>
    <row r="90" spans="1:19" x14ac:dyDescent="0.3">
      <c r="A90" s="98"/>
      <c r="S90" s="98"/>
    </row>
    <row r="91" spans="1:19" x14ac:dyDescent="0.3">
      <c r="A91" s="98"/>
      <c r="S91" s="98"/>
    </row>
    <row r="92" spans="1:19" x14ac:dyDescent="0.3">
      <c r="A92" s="98"/>
      <c r="S92" s="98"/>
    </row>
    <row r="93" spans="1:19" x14ac:dyDescent="0.3">
      <c r="A93" s="98"/>
      <c r="S93" s="98"/>
    </row>
    <row r="94" spans="1:19" x14ac:dyDescent="0.3">
      <c r="A94" s="98"/>
      <c r="E94" s="212"/>
      <c r="S94" s="98"/>
    </row>
    <row r="95" spans="1:19" x14ac:dyDescent="0.3">
      <c r="A95" s="98"/>
      <c r="S95" s="98"/>
    </row>
    <row r="96" spans="1:19" ht="16.2" thickBot="1" x14ac:dyDescent="0.35">
      <c r="A96" s="99"/>
      <c r="S96" s="98"/>
    </row>
    <row r="97" spans="1:19" x14ac:dyDescent="0.3">
      <c r="A97" s="97"/>
      <c r="S97" s="98"/>
    </row>
    <row r="98" spans="1:19" x14ac:dyDescent="0.3">
      <c r="A98" s="98"/>
      <c r="S98" s="98"/>
    </row>
    <row r="99" spans="1:19" ht="16.2" thickBot="1" x14ac:dyDescent="0.35">
      <c r="A99" s="98"/>
      <c r="S99" s="98"/>
    </row>
    <row r="100" spans="1:19" x14ac:dyDescent="0.3">
      <c r="A100" s="97"/>
      <c r="H100" s="39"/>
      <c r="I100" s="39"/>
      <c r="J100" s="39"/>
      <c r="K100" s="39"/>
      <c r="L100" s="39"/>
      <c r="S100" s="114"/>
    </row>
    <row r="101" spans="1:19" x14ac:dyDescent="0.3">
      <c r="A101" s="98"/>
      <c r="S101" s="114"/>
    </row>
    <row r="102" spans="1:19" x14ac:dyDescent="0.3">
      <c r="A102" s="98"/>
      <c r="C102" s="236"/>
      <c r="D102" s="236"/>
      <c r="E102" s="236"/>
      <c r="F102" s="236"/>
      <c r="G102" s="236"/>
      <c r="H102" s="236"/>
      <c r="I102" s="39"/>
      <c r="J102" s="39"/>
      <c r="K102" s="39"/>
      <c r="L102" s="39"/>
      <c r="M102" s="39"/>
      <c r="N102" s="39"/>
      <c r="O102" s="39"/>
      <c r="P102" s="39"/>
      <c r="Q102" s="39"/>
      <c r="S102" s="114"/>
    </row>
    <row r="103" spans="1:19" x14ac:dyDescent="0.3">
      <c r="A103" s="98"/>
      <c r="C103" s="236"/>
      <c r="D103" s="236"/>
      <c r="E103" s="236"/>
      <c r="F103" s="236"/>
      <c r="G103" s="236"/>
      <c r="H103" s="236"/>
      <c r="I103" s="236"/>
      <c r="J103" s="236"/>
      <c r="K103" s="236"/>
      <c r="L103" s="236"/>
      <c r="M103" s="236"/>
      <c r="N103" s="236"/>
      <c r="O103" s="236"/>
      <c r="P103" s="236"/>
      <c r="Q103" s="236"/>
      <c r="S103" s="114"/>
    </row>
    <row r="104" spans="1:19" x14ac:dyDescent="0.3">
      <c r="A104" s="98"/>
      <c r="C104" s="236"/>
      <c r="D104" s="236"/>
      <c r="E104" s="236"/>
      <c r="F104" s="236"/>
      <c r="G104" s="236"/>
      <c r="H104" s="236"/>
      <c r="I104" s="236"/>
      <c r="J104" s="236"/>
      <c r="K104" s="236"/>
      <c r="L104" s="236"/>
      <c r="M104" s="236"/>
      <c r="N104" s="236"/>
      <c r="O104" s="236"/>
      <c r="P104" s="236"/>
      <c r="Q104" s="236"/>
      <c r="S104" s="114"/>
    </row>
    <row r="105" spans="1:19" x14ac:dyDescent="0.3">
      <c r="A105" s="98"/>
      <c r="B105" s="1"/>
      <c r="C105" s="12"/>
      <c r="D105" s="12"/>
      <c r="E105" s="12"/>
      <c r="F105" s="12"/>
      <c r="G105" s="12"/>
      <c r="H105" s="12"/>
      <c r="I105" s="12"/>
      <c r="J105" s="12"/>
      <c r="K105" s="12"/>
      <c r="L105" s="12"/>
      <c r="M105" s="12"/>
      <c r="N105" s="12"/>
      <c r="O105" s="12"/>
      <c r="P105" s="12"/>
      <c r="Q105" s="12"/>
      <c r="S105" s="114"/>
    </row>
    <row r="106" spans="1:19" x14ac:dyDescent="0.3">
      <c r="A106" s="98"/>
      <c r="S106" s="114"/>
    </row>
    <row r="107" spans="1:19" x14ac:dyDescent="0.3">
      <c r="A107" s="98"/>
      <c r="S107" s="114"/>
    </row>
    <row r="108" spans="1:19" x14ac:dyDescent="0.3">
      <c r="A108" s="98"/>
      <c r="S108" s="114"/>
    </row>
    <row r="109" spans="1:19" x14ac:dyDescent="0.3">
      <c r="A109" s="98"/>
      <c r="S109" s="114"/>
    </row>
    <row r="110" spans="1:19" x14ac:dyDescent="0.3">
      <c r="A110" s="98"/>
      <c r="C110" s="12"/>
      <c r="S110" s="114"/>
    </row>
    <row r="111" spans="1:19" x14ac:dyDescent="0.3">
      <c r="A111" s="98"/>
      <c r="E111" s="12"/>
      <c r="S111" s="114"/>
    </row>
    <row r="112" spans="1:19" x14ac:dyDescent="0.3">
      <c r="A112" s="98"/>
      <c r="G112" s="12"/>
      <c r="S112" s="114"/>
    </row>
    <row r="113" spans="1:19" x14ac:dyDescent="0.3">
      <c r="A113" s="98"/>
      <c r="I113" s="12"/>
      <c r="S113" s="114"/>
    </row>
    <row r="114" spans="1:19" x14ac:dyDescent="0.3">
      <c r="A114" s="98"/>
      <c r="K114" s="12"/>
      <c r="S114" s="114"/>
    </row>
    <row r="115" spans="1:19" x14ac:dyDescent="0.3">
      <c r="A115" s="98"/>
      <c r="S115" s="114"/>
    </row>
    <row r="116" spans="1:19" x14ac:dyDescent="0.3">
      <c r="A116" s="98"/>
      <c r="M116" s="12"/>
      <c r="S116" s="114"/>
    </row>
    <row r="117" spans="1:19" x14ac:dyDescent="0.3">
      <c r="A117" s="98"/>
      <c r="S117" s="114"/>
    </row>
    <row r="118" spans="1:19" x14ac:dyDescent="0.3">
      <c r="A118" s="98"/>
      <c r="S118" s="114"/>
    </row>
    <row r="119" spans="1:19" ht="16.2" thickBot="1" x14ac:dyDescent="0.35">
      <c r="A119" s="99"/>
      <c r="O119" s="12"/>
      <c r="Q119" s="12"/>
      <c r="S119" s="114"/>
    </row>
    <row r="120" spans="1:19" ht="16.2" thickBot="1" x14ac:dyDescent="0.35">
      <c r="A120" s="45"/>
      <c r="S120" s="114"/>
    </row>
    <row r="121" spans="1:19" x14ac:dyDescent="0.3">
      <c r="A121" s="98"/>
      <c r="S121" s="98"/>
    </row>
    <row r="122" spans="1:19" x14ac:dyDescent="0.3">
      <c r="A122" s="98"/>
      <c r="S122" s="98"/>
    </row>
    <row r="123" spans="1:19" x14ac:dyDescent="0.3">
      <c r="A123" s="98"/>
      <c r="S123" s="98"/>
    </row>
    <row r="124" spans="1:19" x14ac:dyDescent="0.3">
      <c r="A124" s="98"/>
      <c r="S124" s="98"/>
    </row>
    <row r="125" spans="1:19" x14ac:dyDescent="0.3">
      <c r="A125" s="98"/>
      <c r="S125" s="98"/>
    </row>
    <row r="126" spans="1:19" x14ac:dyDescent="0.3">
      <c r="A126" s="98"/>
      <c r="S126" s="98"/>
    </row>
    <row r="127" spans="1:19" x14ac:dyDescent="0.3">
      <c r="A127" s="98"/>
      <c r="S127" s="98"/>
    </row>
    <row r="128" spans="1:19" x14ac:dyDescent="0.3">
      <c r="A128" s="98"/>
      <c r="S128" s="98"/>
    </row>
    <row r="129" spans="1:19" x14ac:dyDescent="0.3">
      <c r="A129" s="98"/>
      <c r="S129" s="98"/>
    </row>
    <row r="130" spans="1:19" x14ac:dyDescent="0.3">
      <c r="A130" s="98"/>
      <c r="S130" s="98"/>
    </row>
    <row r="131" spans="1:19" x14ac:dyDescent="0.3">
      <c r="A131" s="98"/>
      <c r="S131" s="98"/>
    </row>
    <row r="132" spans="1:19" x14ac:dyDescent="0.3">
      <c r="A132" s="98"/>
      <c r="S132" s="98"/>
    </row>
    <row r="133" spans="1:19" x14ac:dyDescent="0.3">
      <c r="A133" s="98"/>
      <c r="S133" s="98"/>
    </row>
    <row r="134" spans="1:19" x14ac:dyDescent="0.3">
      <c r="A134" s="98"/>
      <c r="S134" s="98"/>
    </row>
    <row r="135" spans="1:19" x14ac:dyDescent="0.3">
      <c r="A135" s="98"/>
      <c r="S135" s="98"/>
    </row>
    <row r="136" spans="1:19" x14ac:dyDescent="0.3">
      <c r="A136" s="98"/>
      <c r="S136" s="98"/>
    </row>
    <row r="137" spans="1:19" x14ac:dyDescent="0.3">
      <c r="A137" s="98"/>
      <c r="S137" s="98"/>
    </row>
    <row r="138" spans="1:19" x14ac:dyDescent="0.3">
      <c r="A138" s="98"/>
      <c r="S138" s="98"/>
    </row>
    <row r="139" spans="1:19" x14ac:dyDescent="0.3">
      <c r="A139" s="98"/>
      <c r="S139" s="98"/>
    </row>
    <row r="140" spans="1:19" x14ac:dyDescent="0.3">
      <c r="A140" s="98"/>
      <c r="S140" s="98"/>
    </row>
    <row r="141" spans="1:19" x14ac:dyDescent="0.3">
      <c r="A141" s="98"/>
      <c r="S141" s="98"/>
    </row>
    <row r="142" spans="1:19" x14ac:dyDescent="0.3">
      <c r="A142" s="98"/>
      <c r="S142" s="98"/>
    </row>
    <row r="143" spans="1:19" x14ac:dyDescent="0.3">
      <c r="A143" s="98"/>
      <c r="S143" s="98"/>
    </row>
    <row r="144" spans="1:19" x14ac:dyDescent="0.3">
      <c r="A144" s="98"/>
      <c r="S144" s="98"/>
    </row>
    <row r="145" spans="1:19" x14ac:dyDescent="0.3">
      <c r="A145" s="98"/>
      <c r="S145" s="98"/>
    </row>
    <row r="146" spans="1:19" x14ac:dyDescent="0.3">
      <c r="A146" s="98"/>
      <c r="S146" s="98"/>
    </row>
    <row r="147" spans="1:19" x14ac:dyDescent="0.3">
      <c r="A147" s="98"/>
      <c r="S147" s="98"/>
    </row>
    <row r="148" spans="1:19" x14ac:dyDescent="0.3">
      <c r="A148" s="98"/>
      <c r="S148" s="98"/>
    </row>
    <row r="149" spans="1:19" x14ac:dyDescent="0.3">
      <c r="A149" s="98"/>
      <c r="S149" s="98"/>
    </row>
    <row r="150" spans="1:19" x14ac:dyDescent="0.3">
      <c r="A150" s="98"/>
      <c r="S150" s="98"/>
    </row>
    <row r="151" spans="1:19" x14ac:dyDescent="0.3">
      <c r="A151" s="98"/>
      <c r="S151" s="98"/>
    </row>
    <row r="152" spans="1:19" x14ac:dyDescent="0.3">
      <c r="A152" s="98"/>
      <c r="S152" s="98"/>
    </row>
    <row r="153" spans="1:19" x14ac:dyDescent="0.3">
      <c r="A153" s="98"/>
      <c r="S153" s="98"/>
    </row>
    <row r="154" spans="1:19" x14ac:dyDescent="0.3">
      <c r="A154" s="98"/>
      <c r="S154" s="98"/>
    </row>
    <row r="155" spans="1:19" x14ac:dyDescent="0.3">
      <c r="A155" s="98"/>
      <c r="S155" s="98"/>
    </row>
    <row r="156" spans="1:19" x14ac:dyDescent="0.3">
      <c r="A156" s="98"/>
      <c r="S156" s="98"/>
    </row>
    <row r="157" spans="1:19" x14ac:dyDescent="0.3">
      <c r="A157" s="98"/>
      <c r="S157" s="98"/>
    </row>
    <row r="158" spans="1:19" x14ac:dyDescent="0.3">
      <c r="A158" s="98"/>
      <c r="S158" s="98"/>
    </row>
    <row r="159" spans="1:19" x14ac:dyDescent="0.3">
      <c r="A159" s="98"/>
      <c r="S159" s="98"/>
    </row>
    <row r="160" spans="1:19" x14ac:dyDescent="0.3">
      <c r="A160" s="98"/>
      <c r="S160" s="98"/>
    </row>
    <row r="161" spans="1:19" x14ac:dyDescent="0.3">
      <c r="A161" s="98"/>
      <c r="S161" s="98"/>
    </row>
    <row r="162" spans="1:19" x14ac:dyDescent="0.3">
      <c r="A162" s="98"/>
      <c r="S162" s="98"/>
    </row>
    <row r="163" spans="1:19" x14ac:dyDescent="0.3">
      <c r="A163" s="98"/>
      <c r="S163" s="98"/>
    </row>
    <row r="164" spans="1:19" x14ac:dyDescent="0.3">
      <c r="A164" s="98"/>
      <c r="S164" s="98"/>
    </row>
    <row r="165" spans="1:19" x14ac:dyDescent="0.3">
      <c r="A165" s="98"/>
      <c r="S165" s="98"/>
    </row>
    <row r="166" spans="1:19" x14ac:dyDescent="0.3">
      <c r="A166" s="98"/>
      <c r="S166" s="98"/>
    </row>
    <row r="167" spans="1:19" x14ac:dyDescent="0.3">
      <c r="A167" s="98"/>
      <c r="S167" s="98"/>
    </row>
    <row r="168" spans="1:19" x14ac:dyDescent="0.3">
      <c r="A168" s="98"/>
      <c r="S168" s="98"/>
    </row>
    <row r="169" spans="1:19" x14ac:dyDescent="0.3">
      <c r="A169" s="98"/>
      <c r="S169" s="98"/>
    </row>
    <row r="170" spans="1:19" x14ac:dyDescent="0.3">
      <c r="A170" s="98"/>
      <c r="S170" s="98"/>
    </row>
    <row r="171" spans="1:19" x14ac:dyDescent="0.3">
      <c r="A171" s="98"/>
      <c r="S171" s="98"/>
    </row>
    <row r="172" spans="1:19" x14ac:dyDescent="0.3">
      <c r="A172" s="98"/>
      <c r="S172" s="98"/>
    </row>
    <row r="173" spans="1:19" x14ac:dyDescent="0.3">
      <c r="A173" s="98"/>
      <c r="S173" s="98"/>
    </row>
    <row r="174" spans="1:19" x14ac:dyDescent="0.3">
      <c r="A174" s="98"/>
      <c r="S174" s="98"/>
    </row>
    <row r="175" spans="1:19" x14ac:dyDescent="0.3">
      <c r="A175" s="98"/>
      <c r="S175" s="98"/>
    </row>
    <row r="176" spans="1:19" x14ac:dyDescent="0.3">
      <c r="A176" s="98"/>
      <c r="S176" s="98"/>
    </row>
    <row r="177" spans="1:19" x14ac:dyDescent="0.3">
      <c r="A177" s="98"/>
      <c r="S177" s="98"/>
    </row>
    <row r="178" spans="1:19" x14ac:dyDescent="0.3">
      <c r="A178" s="98"/>
      <c r="S178" s="98"/>
    </row>
    <row r="179" spans="1:19" x14ac:dyDescent="0.3">
      <c r="A179" s="98"/>
      <c r="S179" s="98"/>
    </row>
    <row r="180" spans="1:19" x14ac:dyDescent="0.3">
      <c r="A180" s="98"/>
      <c r="S180" s="98"/>
    </row>
    <row r="181" spans="1:19" x14ac:dyDescent="0.3">
      <c r="A181" s="98"/>
      <c r="S181" s="98"/>
    </row>
    <row r="182" spans="1:19" x14ac:dyDescent="0.3">
      <c r="A182" s="98"/>
      <c r="S182" s="98"/>
    </row>
    <row r="183" spans="1:19" x14ac:dyDescent="0.3">
      <c r="A183" s="98"/>
      <c r="S183" s="98"/>
    </row>
    <row r="184" spans="1:19" x14ac:dyDescent="0.3">
      <c r="A184" s="98"/>
      <c r="S184" s="98"/>
    </row>
    <row r="185" spans="1:19" x14ac:dyDescent="0.3">
      <c r="A185" s="98"/>
      <c r="S185" s="98"/>
    </row>
    <row r="186" spans="1:19" x14ac:dyDescent="0.3">
      <c r="A186" s="98"/>
      <c r="S186" s="98"/>
    </row>
    <row r="187" spans="1:19" x14ac:dyDescent="0.3">
      <c r="A187" s="98"/>
      <c r="S187" s="98"/>
    </row>
    <row r="188" spans="1:19" x14ac:dyDescent="0.3">
      <c r="A188" s="98"/>
      <c r="S188" s="98"/>
    </row>
    <row r="189" spans="1:19" x14ac:dyDescent="0.3">
      <c r="A189" s="98"/>
      <c r="S189" s="98"/>
    </row>
    <row r="190" spans="1:19" x14ac:dyDescent="0.3">
      <c r="A190" s="98"/>
      <c r="S190" s="98"/>
    </row>
    <row r="191" spans="1:19" x14ac:dyDescent="0.3">
      <c r="A191" s="98"/>
      <c r="S191" s="98"/>
    </row>
    <row r="192" spans="1:19" x14ac:dyDescent="0.3">
      <c r="A192" s="98"/>
      <c r="S192" s="98"/>
    </row>
    <row r="193" spans="1:19" x14ac:dyDescent="0.3">
      <c r="A193" s="98"/>
      <c r="S193" s="98"/>
    </row>
    <row r="194" spans="1:19" x14ac:dyDescent="0.3">
      <c r="A194" s="98"/>
      <c r="S194" s="98"/>
    </row>
    <row r="195" spans="1:19" x14ac:dyDescent="0.3">
      <c r="A195" s="98"/>
      <c r="S195" s="98"/>
    </row>
    <row r="196" spans="1:19" x14ac:dyDescent="0.3">
      <c r="A196" s="98"/>
      <c r="S196" s="98"/>
    </row>
    <row r="197" spans="1:19" x14ac:dyDescent="0.3">
      <c r="A197" s="98"/>
      <c r="S197" s="98"/>
    </row>
    <row r="198" spans="1:19" x14ac:dyDescent="0.3">
      <c r="A198" s="98"/>
      <c r="S198" s="98"/>
    </row>
    <row r="199" spans="1:19" x14ac:dyDescent="0.3">
      <c r="A199" s="98"/>
      <c r="S199" s="98"/>
    </row>
    <row r="200" spans="1:19" x14ac:dyDescent="0.3">
      <c r="A200" s="98"/>
      <c r="S200" s="98"/>
    </row>
    <row r="201" spans="1:19" x14ac:dyDescent="0.3">
      <c r="A201" s="98"/>
      <c r="S201" s="98"/>
    </row>
    <row r="202" spans="1:19" x14ac:dyDescent="0.3">
      <c r="A202" s="98"/>
      <c r="S202" s="98"/>
    </row>
    <row r="203" spans="1:19" x14ac:dyDescent="0.3">
      <c r="A203" s="98"/>
      <c r="S203" s="98"/>
    </row>
    <row r="204" spans="1:19" x14ac:dyDescent="0.3">
      <c r="A204" s="98"/>
      <c r="S204" s="98"/>
    </row>
    <row r="205" spans="1:19" x14ac:dyDescent="0.3">
      <c r="A205" s="98"/>
      <c r="S205" s="98"/>
    </row>
    <row r="206" spans="1:19" x14ac:dyDescent="0.3">
      <c r="A206" s="98"/>
      <c r="S206" s="98"/>
    </row>
    <row r="207" spans="1:19" x14ac:dyDescent="0.3">
      <c r="A207" s="98"/>
      <c r="S207" s="98"/>
    </row>
    <row r="208" spans="1:19" x14ac:dyDescent="0.3">
      <c r="A208" s="98"/>
      <c r="S208" s="98"/>
    </row>
    <row r="209" spans="1:19" x14ac:dyDescent="0.3">
      <c r="A209" s="98"/>
      <c r="S209" s="98"/>
    </row>
    <row r="210" spans="1:19" x14ac:dyDescent="0.3">
      <c r="A210" s="98"/>
      <c r="S210" s="98"/>
    </row>
    <row r="211" spans="1:19" x14ac:dyDescent="0.3">
      <c r="A211" s="98"/>
      <c r="S211" s="98"/>
    </row>
    <row r="212" spans="1:19" x14ac:dyDescent="0.3">
      <c r="A212" s="98"/>
      <c r="S212" s="98"/>
    </row>
    <row r="213" spans="1:19" x14ac:dyDescent="0.3">
      <c r="A213" s="98"/>
      <c r="S213" s="98"/>
    </row>
    <row r="214" spans="1:19" x14ac:dyDescent="0.3">
      <c r="A214" s="98"/>
      <c r="S214" s="98"/>
    </row>
    <row r="215" spans="1:19" x14ac:dyDescent="0.3">
      <c r="A215" s="98"/>
      <c r="S215" s="98"/>
    </row>
    <row r="216" spans="1:19" x14ac:dyDescent="0.3">
      <c r="A216" s="98"/>
      <c r="S216" s="98"/>
    </row>
    <row r="217" spans="1:19" x14ac:dyDescent="0.3">
      <c r="A217" s="98"/>
      <c r="S217" s="98"/>
    </row>
    <row r="218" spans="1:19" x14ac:dyDescent="0.3">
      <c r="A218" s="98"/>
      <c r="S218" s="98"/>
    </row>
    <row r="219" spans="1:19" x14ac:dyDescent="0.3">
      <c r="A219" s="98"/>
      <c r="S219" s="98"/>
    </row>
    <row r="220" spans="1:19" x14ac:dyDescent="0.3">
      <c r="A220" s="98"/>
      <c r="S220" s="98"/>
    </row>
    <row r="221" spans="1:19" x14ac:dyDescent="0.3">
      <c r="A221" s="98"/>
      <c r="S221" s="98"/>
    </row>
    <row r="222" spans="1:19" x14ac:dyDescent="0.3">
      <c r="A222" s="98"/>
      <c r="S222" s="98"/>
    </row>
    <row r="223" spans="1:19" x14ac:dyDescent="0.3">
      <c r="A223" s="98"/>
      <c r="S223" s="98"/>
    </row>
    <row r="224" spans="1:19" x14ac:dyDescent="0.3">
      <c r="A224" s="98"/>
      <c r="S224" s="98"/>
    </row>
    <row r="225" spans="1:19" x14ac:dyDescent="0.3">
      <c r="A225" s="98"/>
      <c r="S225" s="98"/>
    </row>
    <row r="226" spans="1:19" x14ac:dyDescent="0.3">
      <c r="A226" s="98"/>
      <c r="S226" s="98"/>
    </row>
    <row r="227" spans="1:19" x14ac:dyDescent="0.3">
      <c r="A227" s="98"/>
      <c r="S227" s="98"/>
    </row>
    <row r="228" spans="1:19" x14ac:dyDescent="0.3">
      <c r="A228" s="98"/>
      <c r="S228" s="98"/>
    </row>
    <row r="229" spans="1:19" x14ac:dyDescent="0.3">
      <c r="A229" s="98"/>
      <c r="S229" s="98"/>
    </row>
    <row r="230" spans="1:19" x14ac:dyDescent="0.3">
      <c r="A230" s="98"/>
      <c r="S230" s="98"/>
    </row>
    <row r="231" spans="1:19" x14ac:dyDescent="0.3">
      <c r="A231" s="98"/>
      <c r="S231" s="98"/>
    </row>
    <row r="232" spans="1:19" x14ac:dyDescent="0.3">
      <c r="A232" s="98"/>
      <c r="S232" s="98"/>
    </row>
    <row r="233" spans="1:19" x14ac:dyDescent="0.3">
      <c r="A233" s="98"/>
      <c r="S233" s="98"/>
    </row>
    <row r="234" spans="1:19" x14ac:dyDescent="0.3">
      <c r="A234" s="98"/>
      <c r="S234" s="98"/>
    </row>
    <row r="235" spans="1:19" x14ac:dyDescent="0.3">
      <c r="A235" s="98"/>
      <c r="S235" s="98"/>
    </row>
    <row r="236" spans="1:19" x14ac:dyDescent="0.3">
      <c r="A236" s="98"/>
      <c r="S236" s="98"/>
    </row>
    <row r="237" spans="1:19" x14ac:dyDescent="0.3">
      <c r="A237" s="98"/>
      <c r="S237" s="98"/>
    </row>
    <row r="238" spans="1:19" x14ac:dyDescent="0.3">
      <c r="A238" s="98"/>
      <c r="S238" s="98"/>
    </row>
    <row r="239" spans="1:19" x14ac:dyDescent="0.3">
      <c r="A239" s="98"/>
      <c r="S239" s="98"/>
    </row>
    <row r="240" spans="1:19" x14ac:dyDescent="0.3">
      <c r="A240" s="98"/>
      <c r="S240" s="98"/>
    </row>
    <row r="241" spans="1:19" x14ac:dyDescent="0.3">
      <c r="A241" s="98"/>
      <c r="S241" s="98"/>
    </row>
    <row r="242" spans="1:19" x14ac:dyDescent="0.3">
      <c r="A242" s="98"/>
      <c r="S242" s="98"/>
    </row>
    <row r="243" spans="1:19" x14ac:dyDescent="0.3">
      <c r="A243" s="98"/>
      <c r="S243" s="98"/>
    </row>
    <row r="244" spans="1:19" x14ac:dyDescent="0.3">
      <c r="A244" s="98"/>
      <c r="S244" s="98"/>
    </row>
    <row r="245" spans="1:19" x14ac:dyDescent="0.3">
      <c r="A245" s="98"/>
      <c r="S245" s="98"/>
    </row>
    <row r="246" spans="1:19" x14ac:dyDescent="0.3">
      <c r="A246" s="98"/>
      <c r="S246" s="98"/>
    </row>
    <row r="247" spans="1:19" x14ac:dyDescent="0.3">
      <c r="A247" s="98"/>
      <c r="S247" s="98"/>
    </row>
    <row r="248" spans="1:19" x14ac:dyDescent="0.3">
      <c r="A248" s="98"/>
      <c r="S248" s="98"/>
    </row>
    <row r="249" spans="1:19" x14ac:dyDescent="0.3">
      <c r="A249" s="98"/>
      <c r="S249" s="98"/>
    </row>
    <row r="250" spans="1:19" x14ac:dyDescent="0.3">
      <c r="A250" s="98"/>
      <c r="S250" s="98"/>
    </row>
    <row r="251" spans="1:19" x14ac:dyDescent="0.3">
      <c r="A251" s="98"/>
      <c r="S251" s="98"/>
    </row>
    <row r="252" spans="1:19" x14ac:dyDescent="0.3">
      <c r="A252" s="98"/>
      <c r="S252" s="98"/>
    </row>
    <row r="253" spans="1:19" x14ac:dyDescent="0.3">
      <c r="A253" s="98"/>
      <c r="S253" s="98"/>
    </row>
    <row r="254" spans="1:19" x14ac:dyDescent="0.3">
      <c r="A254" s="98"/>
      <c r="S254" s="98"/>
    </row>
    <row r="255" spans="1:19" x14ac:dyDescent="0.3">
      <c r="A255" s="98"/>
      <c r="S255" s="98"/>
    </row>
    <row r="256" spans="1:19" x14ac:dyDescent="0.3">
      <c r="A256" s="98"/>
      <c r="S256" s="98"/>
    </row>
    <row r="257" spans="1:19" x14ac:dyDescent="0.3">
      <c r="A257" s="98"/>
      <c r="S257" s="98"/>
    </row>
    <row r="258" spans="1:19" x14ac:dyDescent="0.3">
      <c r="A258" s="98"/>
      <c r="S258" s="98"/>
    </row>
    <row r="259" spans="1:19" x14ac:dyDescent="0.3">
      <c r="A259" s="98"/>
      <c r="S259" s="98"/>
    </row>
    <row r="260" spans="1:19" x14ac:dyDescent="0.3">
      <c r="A260" s="98"/>
      <c r="S260" s="98"/>
    </row>
    <row r="261" spans="1:19" x14ac:dyDescent="0.3">
      <c r="A261" s="98"/>
      <c r="S261" s="98"/>
    </row>
    <row r="262" spans="1:19" x14ac:dyDescent="0.3">
      <c r="A262" s="98"/>
      <c r="S262" s="98"/>
    </row>
    <row r="263" spans="1:19" ht="16.2" thickBot="1" x14ac:dyDescent="0.35">
      <c r="A263" s="99"/>
      <c r="S263" s="98"/>
    </row>
    <row r="264" spans="1:19" x14ac:dyDescent="0.3">
      <c r="S264" s="98"/>
    </row>
    <row r="265" spans="1:19" x14ac:dyDescent="0.3">
      <c r="S265" s="98"/>
    </row>
    <row r="266" spans="1:19" x14ac:dyDescent="0.3">
      <c r="S266" s="98"/>
    </row>
    <row r="267" spans="1:19" x14ac:dyDescent="0.3">
      <c r="S267" s="98"/>
    </row>
    <row r="268" spans="1:19" x14ac:dyDescent="0.3">
      <c r="S268" s="98"/>
    </row>
    <row r="269" spans="1:19" x14ac:dyDescent="0.3">
      <c r="S269" s="98"/>
    </row>
    <row r="270" spans="1:19" x14ac:dyDescent="0.3">
      <c r="S270" s="98"/>
    </row>
    <row r="271" spans="1:19" x14ac:dyDescent="0.3">
      <c r="S271" s="98"/>
    </row>
    <row r="272" spans="1:19" x14ac:dyDescent="0.3">
      <c r="S272" s="98"/>
    </row>
    <row r="273" spans="19:19" x14ac:dyDescent="0.3">
      <c r="S273" s="98"/>
    </row>
    <row r="274" spans="19:19" x14ac:dyDescent="0.3">
      <c r="S274" s="98"/>
    </row>
    <row r="275" spans="19:19" x14ac:dyDescent="0.3">
      <c r="S275" s="98"/>
    </row>
    <row r="276" spans="19:19" x14ac:dyDescent="0.3">
      <c r="S276" s="98"/>
    </row>
    <row r="277" spans="19:19" x14ac:dyDescent="0.3">
      <c r="S277" s="98"/>
    </row>
    <row r="278" spans="19:19" x14ac:dyDescent="0.3">
      <c r="S278" s="98"/>
    </row>
    <row r="279" spans="19:19" x14ac:dyDescent="0.3">
      <c r="S279" s="98"/>
    </row>
    <row r="280" spans="19:19" x14ac:dyDescent="0.3">
      <c r="S280" s="98"/>
    </row>
    <row r="281" spans="19:19" x14ac:dyDescent="0.3">
      <c r="S281" s="98"/>
    </row>
    <row r="282" spans="19:19" x14ac:dyDescent="0.3">
      <c r="S282" s="98"/>
    </row>
    <row r="283" spans="19:19" x14ac:dyDescent="0.3">
      <c r="S283" s="98"/>
    </row>
    <row r="284" spans="19:19" x14ac:dyDescent="0.3">
      <c r="S284" s="98"/>
    </row>
    <row r="285" spans="19:19" x14ac:dyDescent="0.3">
      <c r="S285" s="98"/>
    </row>
    <row r="286" spans="19:19" x14ac:dyDescent="0.3">
      <c r="S286" s="98"/>
    </row>
    <row r="287" spans="19:19" x14ac:dyDescent="0.3">
      <c r="S287" s="98"/>
    </row>
    <row r="288" spans="19:19" x14ac:dyDescent="0.3">
      <c r="S288" s="98"/>
    </row>
    <row r="289" spans="19:19" x14ac:dyDescent="0.3">
      <c r="S289" s="98"/>
    </row>
    <row r="290" spans="19:19" x14ac:dyDescent="0.3">
      <c r="S290" s="98"/>
    </row>
    <row r="291" spans="19:19" x14ac:dyDescent="0.3">
      <c r="S291" s="98"/>
    </row>
    <row r="292" spans="19:19" x14ac:dyDescent="0.3">
      <c r="S292" s="98"/>
    </row>
    <row r="293" spans="19:19" x14ac:dyDescent="0.3">
      <c r="S293" s="98"/>
    </row>
    <row r="294" spans="19:19" x14ac:dyDescent="0.3">
      <c r="S294" s="98"/>
    </row>
    <row r="295" spans="19:19" x14ac:dyDescent="0.3">
      <c r="S295" s="98"/>
    </row>
    <row r="296" spans="19:19" x14ac:dyDescent="0.3">
      <c r="S296" s="98"/>
    </row>
    <row r="297" spans="19:19" x14ac:dyDescent="0.3">
      <c r="S297" s="98"/>
    </row>
    <row r="298" spans="19:19" x14ac:dyDescent="0.3">
      <c r="S298" s="98"/>
    </row>
    <row r="299" spans="19:19" x14ac:dyDescent="0.3">
      <c r="S299" s="98"/>
    </row>
    <row r="300" spans="19:19" x14ac:dyDescent="0.3">
      <c r="S300" s="98"/>
    </row>
    <row r="301" spans="19:19" x14ac:dyDescent="0.3">
      <c r="S301" s="98"/>
    </row>
    <row r="302" spans="19:19" x14ac:dyDescent="0.3">
      <c r="S302" s="98"/>
    </row>
    <row r="303" spans="19:19" x14ac:dyDescent="0.3">
      <c r="S303" s="98"/>
    </row>
    <row r="304" spans="19:19" x14ac:dyDescent="0.3">
      <c r="S304" s="98"/>
    </row>
    <row r="305" spans="19:19" x14ac:dyDescent="0.3">
      <c r="S305" s="98"/>
    </row>
    <row r="306" spans="19:19" x14ac:dyDescent="0.3">
      <c r="S306" s="98"/>
    </row>
    <row r="307" spans="19:19" x14ac:dyDescent="0.3">
      <c r="S307" s="98"/>
    </row>
    <row r="308" spans="19:19" x14ac:dyDescent="0.3">
      <c r="S308" s="98"/>
    </row>
    <row r="309" spans="19:19" x14ac:dyDescent="0.3">
      <c r="S309" s="98"/>
    </row>
    <row r="310" spans="19:19" x14ac:dyDescent="0.3">
      <c r="S310" s="98"/>
    </row>
    <row r="311" spans="19:19" x14ac:dyDescent="0.3">
      <c r="S311" s="98"/>
    </row>
    <row r="312" spans="19:19" x14ac:dyDescent="0.3">
      <c r="S312" s="98"/>
    </row>
    <row r="313" spans="19:19" x14ac:dyDescent="0.3">
      <c r="S313" s="98"/>
    </row>
    <row r="314" spans="19:19" x14ac:dyDescent="0.3">
      <c r="S314" s="98"/>
    </row>
    <row r="315" spans="19:19" x14ac:dyDescent="0.3">
      <c r="S315" s="98"/>
    </row>
    <row r="316" spans="19:19" x14ac:dyDescent="0.3">
      <c r="S316" s="98"/>
    </row>
    <row r="317" spans="19:19" x14ac:dyDescent="0.3">
      <c r="S317" s="98"/>
    </row>
    <row r="318" spans="19:19" x14ac:dyDescent="0.3">
      <c r="S318" s="98"/>
    </row>
    <row r="319" spans="19:19" x14ac:dyDescent="0.3">
      <c r="S319" s="98"/>
    </row>
    <row r="320" spans="19:19" x14ac:dyDescent="0.3">
      <c r="S320" s="98"/>
    </row>
    <row r="321" spans="19:19" x14ac:dyDescent="0.3">
      <c r="S321" s="98"/>
    </row>
    <row r="322" spans="19:19" x14ac:dyDescent="0.3">
      <c r="S322" s="98"/>
    </row>
    <row r="323" spans="19:19" x14ac:dyDescent="0.3">
      <c r="S323" s="98"/>
    </row>
    <row r="324" spans="19:19" x14ac:dyDescent="0.3">
      <c r="S324" s="98"/>
    </row>
    <row r="325" spans="19:19" x14ac:dyDescent="0.3">
      <c r="S325" s="98"/>
    </row>
    <row r="326" spans="19:19" x14ac:dyDescent="0.3">
      <c r="S326" s="98"/>
    </row>
    <row r="327" spans="19:19" x14ac:dyDescent="0.3">
      <c r="S327" s="98"/>
    </row>
    <row r="328" spans="19:19" x14ac:dyDescent="0.3">
      <c r="S328" s="98"/>
    </row>
    <row r="329" spans="19:19" x14ac:dyDescent="0.3">
      <c r="S329" s="98"/>
    </row>
    <row r="330" spans="19:19" x14ac:dyDescent="0.3">
      <c r="S330" s="98"/>
    </row>
    <row r="331" spans="19:19" x14ac:dyDescent="0.3">
      <c r="S331" s="98"/>
    </row>
    <row r="332" spans="19:19" x14ac:dyDescent="0.3">
      <c r="S332" s="98"/>
    </row>
    <row r="333" spans="19:19" x14ac:dyDescent="0.3">
      <c r="S333" s="98"/>
    </row>
    <row r="334" spans="19:19" x14ac:dyDescent="0.3">
      <c r="S334" s="98"/>
    </row>
    <row r="335" spans="19:19" x14ac:dyDescent="0.3">
      <c r="S335" s="98"/>
    </row>
    <row r="336" spans="19:19" x14ac:dyDescent="0.3">
      <c r="S336" s="98"/>
    </row>
    <row r="337" spans="19:19" x14ac:dyDescent="0.3">
      <c r="S337" s="98"/>
    </row>
    <row r="338" spans="19:19" x14ac:dyDescent="0.3">
      <c r="S338" s="98"/>
    </row>
    <row r="339" spans="19:19" x14ac:dyDescent="0.3">
      <c r="S339" s="98"/>
    </row>
    <row r="340" spans="19:19" x14ac:dyDescent="0.3">
      <c r="S340" s="98"/>
    </row>
    <row r="341" spans="19:19" x14ac:dyDescent="0.3">
      <c r="S341" s="98"/>
    </row>
    <row r="342" spans="19:19" x14ac:dyDescent="0.3">
      <c r="S342" s="98"/>
    </row>
    <row r="343" spans="19:19" x14ac:dyDescent="0.3">
      <c r="S343" s="98"/>
    </row>
    <row r="344" spans="19:19" x14ac:dyDescent="0.3">
      <c r="S344" s="98"/>
    </row>
    <row r="345" spans="19:19" x14ac:dyDescent="0.3">
      <c r="S345" s="98"/>
    </row>
    <row r="346" spans="19:19" x14ac:dyDescent="0.3">
      <c r="S346" s="98"/>
    </row>
    <row r="347" spans="19:19" x14ac:dyDescent="0.3">
      <c r="S347" s="98"/>
    </row>
    <row r="348" spans="19:19" x14ac:dyDescent="0.3">
      <c r="S348" s="98"/>
    </row>
    <row r="349" spans="19:19" x14ac:dyDescent="0.3">
      <c r="S349" s="98"/>
    </row>
    <row r="350" spans="19:19" x14ac:dyDescent="0.3">
      <c r="S350" s="98"/>
    </row>
    <row r="351" spans="19:19" x14ac:dyDescent="0.3">
      <c r="S351" s="98"/>
    </row>
    <row r="352" spans="19:19" x14ac:dyDescent="0.3">
      <c r="S352" s="98"/>
    </row>
    <row r="353" spans="19:19" x14ac:dyDescent="0.3">
      <c r="S353" s="98"/>
    </row>
    <row r="354" spans="19:19" x14ac:dyDescent="0.3">
      <c r="S354" s="98"/>
    </row>
    <row r="355" spans="19:19" x14ac:dyDescent="0.3">
      <c r="S355" s="98"/>
    </row>
    <row r="356" spans="19:19" x14ac:dyDescent="0.3">
      <c r="S356" s="98"/>
    </row>
    <row r="357" spans="19:19" x14ac:dyDescent="0.3">
      <c r="S357" s="98"/>
    </row>
    <row r="358" spans="19:19" x14ac:dyDescent="0.3">
      <c r="S358" s="98"/>
    </row>
    <row r="359" spans="19:19" x14ac:dyDescent="0.3">
      <c r="S359" s="98"/>
    </row>
    <row r="360" spans="19:19" x14ac:dyDescent="0.3">
      <c r="S360" s="98"/>
    </row>
    <row r="361" spans="19:19" x14ac:dyDescent="0.3">
      <c r="S361" s="98"/>
    </row>
    <row r="362" spans="19:19" x14ac:dyDescent="0.3">
      <c r="S362" s="98"/>
    </row>
    <row r="363" spans="19:19" x14ac:dyDescent="0.3">
      <c r="S363" s="98"/>
    </row>
    <row r="364" spans="19:19" x14ac:dyDescent="0.3">
      <c r="S364" s="98"/>
    </row>
    <row r="365" spans="19:19" x14ac:dyDescent="0.3">
      <c r="S365" s="98"/>
    </row>
    <row r="366" spans="19:19" x14ac:dyDescent="0.3">
      <c r="S366" s="98"/>
    </row>
    <row r="367" spans="19:19" x14ac:dyDescent="0.3">
      <c r="S367" s="98"/>
    </row>
    <row r="368" spans="19:19" x14ac:dyDescent="0.3">
      <c r="S368" s="98"/>
    </row>
    <row r="369" spans="19:19" x14ac:dyDescent="0.3">
      <c r="S369" s="98"/>
    </row>
    <row r="370" spans="19:19" x14ac:dyDescent="0.3">
      <c r="S370" s="98"/>
    </row>
    <row r="371" spans="19:19" x14ac:dyDescent="0.3">
      <c r="S371" s="98"/>
    </row>
    <row r="372" spans="19:19" x14ac:dyDescent="0.3">
      <c r="S372" s="98"/>
    </row>
    <row r="373" spans="19:19" x14ac:dyDescent="0.3">
      <c r="S373" s="98"/>
    </row>
    <row r="374" spans="19:19" x14ac:dyDescent="0.3">
      <c r="S374" s="98"/>
    </row>
    <row r="375" spans="19:19" x14ac:dyDescent="0.3">
      <c r="S375" s="98"/>
    </row>
    <row r="376" spans="19:19" x14ac:dyDescent="0.3">
      <c r="S376" s="98"/>
    </row>
    <row r="377" spans="19:19" x14ac:dyDescent="0.3">
      <c r="S377" s="98"/>
    </row>
    <row r="378" spans="19:19" x14ac:dyDescent="0.3">
      <c r="S378" s="98"/>
    </row>
    <row r="379" spans="19:19" x14ac:dyDescent="0.3">
      <c r="S379" s="98"/>
    </row>
    <row r="380" spans="19:19" x14ac:dyDescent="0.3">
      <c r="S380" s="98"/>
    </row>
    <row r="381" spans="19:19" x14ac:dyDescent="0.3">
      <c r="S381" s="98"/>
    </row>
    <row r="382" spans="19:19" x14ac:dyDescent="0.3">
      <c r="S382" s="98"/>
    </row>
    <row r="383" spans="19:19" x14ac:dyDescent="0.3">
      <c r="S383" s="98"/>
    </row>
    <row r="384" spans="19:19" x14ac:dyDescent="0.3">
      <c r="S384" s="98"/>
    </row>
    <row r="385" spans="19:19" x14ac:dyDescent="0.3">
      <c r="S385" s="98"/>
    </row>
    <row r="386" spans="19:19" x14ac:dyDescent="0.3">
      <c r="S386" s="98"/>
    </row>
    <row r="387" spans="19:19" x14ac:dyDescent="0.3">
      <c r="S387" s="98"/>
    </row>
    <row r="388" spans="19:19" x14ac:dyDescent="0.3">
      <c r="S388" s="98"/>
    </row>
    <row r="389" spans="19:19" x14ac:dyDescent="0.3">
      <c r="S389" s="98"/>
    </row>
    <row r="390" spans="19:19" x14ac:dyDescent="0.3">
      <c r="S390" s="98"/>
    </row>
    <row r="391" spans="19:19" x14ac:dyDescent="0.3">
      <c r="S391" s="98"/>
    </row>
    <row r="392" spans="19:19" x14ac:dyDescent="0.3">
      <c r="S392" s="98"/>
    </row>
    <row r="393" spans="19:19" x14ac:dyDescent="0.3">
      <c r="S393" s="98"/>
    </row>
    <row r="394" spans="19:19" x14ac:dyDescent="0.3">
      <c r="S394" s="98"/>
    </row>
    <row r="395" spans="19:19" x14ac:dyDescent="0.3">
      <c r="S395" s="98"/>
    </row>
    <row r="396" spans="19:19" x14ac:dyDescent="0.3">
      <c r="S396" s="98"/>
    </row>
    <row r="397" spans="19:19" x14ac:dyDescent="0.3">
      <c r="S397" s="98"/>
    </row>
    <row r="398" spans="19:19" x14ac:dyDescent="0.3">
      <c r="S398" s="98"/>
    </row>
    <row r="399" spans="19:19" x14ac:dyDescent="0.3">
      <c r="S399" s="98"/>
    </row>
    <row r="400" spans="19:19" x14ac:dyDescent="0.3">
      <c r="S400" s="98"/>
    </row>
    <row r="401" spans="19:19" x14ac:dyDescent="0.3">
      <c r="S401" s="98"/>
    </row>
    <row r="402" spans="19:19" x14ac:dyDescent="0.3">
      <c r="S402" s="98"/>
    </row>
    <row r="403" spans="19:19" x14ac:dyDescent="0.3">
      <c r="S403" s="98"/>
    </row>
    <row r="404" spans="19:19" x14ac:dyDescent="0.3">
      <c r="S404" s="98"/>
    </row>
    <row r="405" spans="19:19" x14ac:dyDescent="0.3">
      <c r="S405" s="98"/>
    </row>
    <row r="406" spans="19:19" x14ac:dyDescent="0.3">
      <c r="S406" s="98"/>
    </row>
    <row r="407" spans="19:19" x14ac:dyDescent="0.3">
      <c r="S407" s="98"/>
    </row>
    <row r="408" spans="19:19" x14ac:dyDescent="0.3">
      <c r="S408" s="98"/>
    </row>
    <row r="409" spans="19:19" x14ac:dyDescent="0.3">
      <c r="S409" s="98"/>
    </row>
    <row r="410" spans="19:19" x14ac:dyDescent="0.3">
      <c r="S410" s="98"/>
    </row>
    <row r="411" spans="19:19" x14ac:dyDescent="0.3">
      <c r="S411" s="98"/>
    </row>
    <row r="412" spans="19:19" x14ac:dyDescent="0.3">
      <c r="S412" s="98"/>
    </row>
    <row r="413" spans="19:19" x14ac:dyDescent="0.3">
      <c r="S413" s="98"/>
    </row>
    <row r="414" spans="19:19" x14ac:dyDescent="0.3">
      <c r="S414" s="98"/>
    </row>
    <row r="415" spans="19:19" x14ac:dyDescent="0.3">
      <c r="S415" s="98"/>
    </row>
    <row r="416" spans="19:19" x14ac:dyDescent="0.3">
      <c r="S416" s="98"/>
    </row>
    <row r="417" spans="19:19" x14ac:dyDescent="0.3">
      <c r="S417" s="98"/>
    </row>
    <row r="418" spans="19:19" x14ac:dyDescent="0.3">
      <c r="S418" s="98"/>
    </row>
    <row r="419" spans="19:19" x14ac:dyDescent="0.3">
      <c r="S419" s="98"/>
    </row>
    <row r="420" spans="19:19" x14ac:dyDescent="0.3">
      <c r="S420" s="98"/>
    </row>
    <row r="421" spans="19:19" x14ac:dyDescent="0.3">
      <c r="S421" s="98"/>
    </row>
    <row r="422" spans="19:19" x14ac:dyDescent="0.3">
      <c r="S422" s="98"/>
    </row>
    <row r="423" spans="19:19" x14ac:dyDescent="0.3">
      <c r="S423" s="98"/>
    </row>
    <row r="424" spans="19:19" x14ac:dyDescent="0.3">
      <c r="S424" s="98"/>
    </row>
    <row r="425" spans="19:19" x14ac:dyDescent="0.3">
      <c r="S425" s="98"/>
    </row>
    <row r="426" spans="19:19" x14ac:dyDescent="0.3">
      <c r="S426" s="98"/>
    </row>
    <row r="427" spans="19:19" x14ac:dyDescent="0.3">
      <c r="S427" s="98"/>
    </row>
    <row r="428" spans="19:19" x14ac:dyDescent="0.3">
      <c r="S428" s="98"/>
    </row>
    <row r="429" spans="19:19" x14ac:dyDescent="0.3">
      <c r="S429" s="98"/>
    </row>
    <row r="430" spans="19:19" x14ac:dyDescent="0.3">
      <c r="S430" s="98"/>
    </row>
    <row r="431" spans="19:19" x14ac:dyDescent="0.3">
      <c r="S431" s="98"/>
    </row>
    <row r="432" spans="19:19" x14ac:dyDescent="0.3">
      <c r="S432" s="98"/>
    </row>
    <row r="433" spans="19:19" x14ac:dyDescent="0.3">
      <c r="S433" s="98"/>
    </row>
    <row r="434" spans="19:19" x14ac:dyDescent="0.3">
      <c r="S434" s="98"/>
    </row>
    <row r="435" spans="19:19" x14ac:dyDescent="0.3">
      <c r="S435" s="98"/>
    </row>
    <row r="436" spans="19:19" x14ac:dyDescent="0.3">
      <c r="S436" s="98"/>
    </row>
    <row r="437" spans="19:19" x14ac:dyDescent="0.3">
      <c r="S437" s="98"/>
    </row>
    <row r="438" spans="19:19" x14ac:dyDescent="0.3">
      <c r="S438" s="98"/>
    </row>
    <row r="439" spans="19:19" x14ac:dyDescent="0.3">
      <c r="S439" s="98"/>
    </row>
    <row r="440" spans="19:19" x14ac:dyDescent="0.3">
      <c r="S440" s="98"/>
    </row>
    <row r="441" spans="19:19" x14ac:dyDescent="0.3">
      <c r="S441" s="98"/>
    </row>
    <row r="442" spans="19:19" x14ac:dyDescent="0.3">
      <c r="S442" s="98"/>
    </row>
    <row r="443" spans="19:19" x14ac:dyDescent="0.3">
      <c r="S443" s="98"/>
    </row>
    <row r="444" spans="19:19" x14ac:dyDescent="0.3">
      <c r="S444" s="98"/>
    </row>
    <row r="445" spans="19:19" x14ac:dyDescent="0.3">
      <c r="S445" s="98"/>
    </row>
    <row r="446" spans="19:19" x14ac:dyDescent="0.3">
      <c r="S446" s="98"/>
    </row>
    <row r="447" spans="19:19" x14ac:dyDescent="0.3">
      <c r="S447" s="98"/>
    </row>
    <row r="448" spans="19:19" x14ac:dyDescent="0.3">
      <c r="S448" s="98"/>
    </row>
    <row r="449" spans="19:19" x14ac:dyDescent="0.3">
      <c r="S449" s="98"/>
    </row>
    <row r="450" spans="19:19" x14ac:dyDescent="0.3">
      <c r="S450" s="98"/>
    </row>
    <row r="451" spans="19:19" x14ac:dyDescent="0.3">
      <c r="S451" s="98"/>
    </row>
    <row r="452" spans="19:19" x14ac:dyDescent="0.3">
      <c r="S452" s="98"/>
    </row>
    <row r="453" spans="19:19" x14ac:dyDescent="0.3">
      <c r="S453" s="98"/>
    </row>
    <row r="454" spans="19:19" x14ac:dyDescent="0.3">
      <c r="S454" s="98"/>
    </row>
    <row r="455" spans="19:19" x14ac:dyDescent="0.3">
      <c r="S455" s="98"/>
    </row>
    <row r="456" spans="19:19" x14ac:dyDescent="0.3">
      <c r="S456" s="98"/>
    </row>
    <row r="457" spans="19:19" x14ac:dyDescent="0.3">
      <c r="S457" s="98"/>
    </row>
    <row r="458" spans="19:19" x14ac:dyDescent="0.3">
      <c r="S458" s="98"/>
    </row>
    <row r="459" spans="19:19" x14ac:dyDescent="0.3">
      <c r="S459" s="98"/>
    </row>
    <row r="460" spans="19:19" x14ac:dyDescent="0.3">
      <c r="S460" s="98"/>
    </row>
    <row r="461" spans="19:19" x14ac:dyDescent="0.3">
      <c r="S461" s="98"/>
    </row>
    <row r="462" spans="19:19" x14ac:dyDescent="0.3">
      <c r="S462" s="98"/>
    </row>
    <row r="463" spans="19:19" x14ac:dyDescent="0.3">
      <c r="S463" s="98"/>
    </row>
    <row r="464" spans="19:19" x14ac:dyDescent="0.3">
      <c r="S464" s="98"/>
    </row>
    <row r="465" spans="19:19" x14ac:dyDescent="0.3">
      <c r="S465" s="98"/>
    </row>
    <row r="466" spans="19:19" x14ac:dyDescent="0.3">
      <c r="S466" s="98"/>
    </row>
    <row r="467" spans="19:19" x14ac:dyDescent="0.3">
      <c r="S467" s="98"/>
    </row>
    <row r="468" spans="19:19" x14ac:dyDescent="0.3">
      <c r="S468" s="98"/>
    </row>
    <row r="469" spans="19:19" x14ac:dyDescent="0.3">
      <c r="S469" s="98"/>
    </row>
    <row r="470" spans="19:19" x14ac:dyDescent="0.3">
      <c r="S470" s="98"/>
    </row>
    <row r="471" spans="19:19" x14ac:dyDescent="0.3">
      <c r="S471" s="98"/>
    </row>
    <row r="472" spans="19:19" x14ac:dyDescent="0.3">
      <c r="S472" s="98"/>
    </row>
    <row r="473" spans="19:19" x14ac:dyDescent="0.3">
      <c r="S473" s="98"/>
    </row>
    <row r="474" spans="19:19" x14ac:dyDescent="0.3">
      <c r="S474" s="98"/>
    </row>
    <row r="475" spans="19:19" x14ac:dyDescent="0.3">
      <c r="S475" s="98"/>
    </row>
    <row r="476" spans="19:19" x14ac:dyDescent="0.3">
      <c r="S476" s="98"/>
    </row>
    <row r="477" spans="19:19" x14ac:dyDescent="0.3">
      <c r="S477" s="98"/>
    </row>
    <row r="478" spans="19:19" x14ac:dyDescent="0.3">
      <c r="S478" s="98"/>
    </row>
    <row r="479" spans="19:19" x14ac:dyDescent="0.3">
      <c r="S479" s="98"/>
    </row>
    <row r="480" spans="19:19" x14ac:dyDescent="0.3">
      <c r="S480" s="98"/>
    </row>
    <row r="481" spans="19:19" x14ac:dyDescent="0.3">
      <c r="S481" s="98"/>
    </row>
    <row r="482" spans="19:19" x14ac:dyDescent="0.3">
      <c r="S482" s="98"/>
    </row>
    <row r="483" spans="19:19" x14ac:dyDescent="0.3">
      <c r="S483" s="98"/>
    </row>
    <row r="484" spans="19:19" x14ac:dyDescent="0.3">
      <c r="S484" s="98"/>
    </row>
    <row r="485" spans="19:19" x14ac:dyDescent="0.3">
      <c r="S485" s="98"/>
    </row>
    <row r="486" spans="19:19" x14ac:dyDescent="0.3">
      <c r="S486" s="98"/>
    </row>
    <row r="487" spans="19:19" x14ac:dyDescent="0.3">
      <c r="S487" s="98"/>
    </row>
    <row r="488" spans="19:19" x14ac:dyDescent="0.3">
      <c r="S488" s="98"/>
    </row>
    <row r="489" spans="19:19" x14ac:dyDescent="0.3">
      <c r="S489" s="98"/>
    </row>
    <row r="490" spans="19:19" x14ac:dyDescent="0.3">
      <c r="S490" s="98"/>
    </row>
    <row r="491" spans="19:19" x14ac:dyDescent="0.3">
      <c r="S491" s="98"/>
    </row>
    <row r="492" spans="19:19" x14ac:dyDescent="0.3">
      <c r="S492" s="98"/>
    </row>
    <row r="493" spans="19:19" x14ac:dyDescent="0.3">
      <c r="S493" s="98"/>
    </row>
    <row r="494" spans="19:19" x14ac:dyDescent="0.3">
      <c r="S494" s="98"/>
    </row>
    <row r="495" spans="19:19" x14ac:dyDescent="0.3">
      <c r="S495" s="98"/>
    </row>
    <row r="496" spans="19:19" x14ac:dyDescent="0.3">
      <c r="S496" s="98"/>
    </row>
    <row r="497" spans="19:19" x14ac:dyDescent="0.3">
      <c r="S497" s="98"/>
    </row>
    <row r="498" spans="19:19" x14ac:dyDescent="0.3">
      <c r="S498" s="98"/>
    </row>
    <row r="499" spans="19:19" x14ac:dyDescent="0.3">
      <c r="S499" s="98"/>
    </row>
    <row r="500" spans="19:19" x14ac:dyDescent="0.3">
      <c r="S500" s="98"/>
    </row>
    <row r="501" spans="19:19" x14ac:dyDescent="0.3">
      <c r="S501" s="98"/>
    </row>
    <row r="502" spans="19:19" x14ac:dyDescent="0.3">
      <c r="S502" s="98"/>
    </row>
    <row r="503" spans="19:19" x14ac:dyDescent="0.3">
      <c r="S503" s="98"/>
    </row>
    <row r="504" spans="19:19" x14ac:dyDescent="0.3">
      <c r="S504" s="98"/>
    </row>
    <row r="505" spans="19:19" x14ac:dyDescent="0.3">
      <c r="S505" s="98"/>
    </row>
    <row r="506" spans="19:19" x14ac:dyDescent="0.3">
      <c r="S506" s="98"/>
    </row>
    <row r="507" spans="19:19" x14ac:dyDescent="0.3">
      <c r="S507" s="98"/>
    </row>
    <row r="508" spans="19:19" x14ac:dyDescent="0.3">
      <c r="S508" s="98"/>
    </row>
    <row r="509" spans="19:19" x14ac:dyDescent="0.3">
      <c r="S509" s="98"/>
    </row>
    <row r="510" spans="19:19" ht="16.2" thickBot="1" x14ac:dyDescent="0.35">
      <c r="S510" s="99"/>
    </row>
  </sheetData>
  <mergeCells count="1">
    <mergeCell ref="O18:P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63"/>
  <sheetViews>
    <sheetView tabSelected="1" topLeftCell="A218" zoomScale="96" zoomScaleNormal="96" workbookViewId="0">
      <selection activeCell="K229" sqref="K229"/>
    </sheetView>
  </sheetViews>
  <sheetFormatPr defaultRowHeight="15.6" x14ac:dyDescent="0.3"/>
  <cols>
    <col min="7" max="7" width="9.8984375" bestFit="1" customWidth="1"/>
  </cols>
  <sheetData>
    <row r="1" spans="1:19" x14ac:dyDescent="0.3">
      <c r="A1" s="70"/>
      <c r="B1" s="71"/>
      <c r="C1" s="71"/>
      <c r="D1" s="71"/>
      <c r="E1" s="71"/>
      <c r="F1" s="71"/>
      <c r="G1" s="71"/>
      <c r="H1" s="71"/>
      <c r="I1" s="71"/>
      <c r="J1" s="71"/>
      <c r="K1" s="71"/>
      <c r="L1" s="71"/>
      <c r="M1" s="71"/>
      <c r="N1" s="71"/>
      <c r="O1" s="72" t="s">
        <v>359</v>
      </c>
      <c r="S1" s="97"/>
    </row>
    <row r="2" spans="1:19" ht="16.2" thickBot="1" x14ac:dyDescent="0.35">
      <c r="A2" s="73"/>
      <c r="B2" s="74"/>
      <c r="C2" s="74"/>
      <c r="D2" s="74"/>
      <c r="E2" s="74"/>
      <c r="F2" s="74"/>
      <c r="G2" s="74"/>
      <c r="H2" s="74"/>
      <c r="I2" s="74"/>
      <c r="J2" s="74"/>
      <c r="K2" s="74"/>
      <c r="L2" s="74"/>
      <c r="M2" s="74"/>
      <c r="N2" s="74" t="s">
        <v>369</v>
      </c>
      <c r="O2" s="75"/>
      <c r="S2" s="98"/>
    </row>
    <row r="3" spans="1:19" ht="16.2" thickBot="1" x14ac:dyDescent="0.35">
      <c r="A3" s="97"/>
      <c r="B3" s="39"/>
      <c r="C3" s="39"/>
      <c r="D3" s="39"/>
      <c r="E3" s="39"/>
      <c r="F3" s="39"/>
      <c r="G3" s="39"/>
      <c r="H3" s="39"/>
      <c r="I3" s="39"/>
      <c r="J3" s="39"/>
      <c r="K3" s="39"/>
      <c r="L3" s="39"/>
      <c r="M3" s="39"/>
      <c r="N3" s="39"/>
      <c r="O3" s="39"/>
      <c r="S3" s="98"/>
    </row>
    <row r="4" spans="1:19" ht="16.2" thickBot="1" x14ac:dyDescent="0.35">
      <c r="A4" s="98"/>
      <c r="I4" s="8"/>
      <c r="J4" s="8"/>
      <c r="K4" s="8"/>
      <c r="L4" s="8"/>
      <c r="M4" s="8"/>
      <c r="N4" s="8"/>
      <c r="O4" s="8"/>
      <c r="P4" s="8"/>
      <c r="Q4" s="76" t="s">
        <v>174</v>
      </c>
      <c r="R4" s="94" t="s">
        <v>63</v>
      </c>
      <c r="S4" s="98"/>
    </row>
    <row r="5" spans="1:19" ht="16.2" thickBot="1" x14ac:dyDescent="0.35">
      <c r="A5" s="98"/>
      <c r="S5" s="98"/>
    </row>
    <row r="6" spans="1:19" ht="18" thickBot="1" x14ac:dyDescent="0.35">
      <c r="A6" s="98"/>
      <c r="H6" s="573" t="s">
        <v>207</v>
      </c>
      <c r="I6" s="574"/>
      <c r="J6" s="48"/>
      <c r="K6" s="48"/>
      <c r="L6" s="48"/>
      <c r="M6" s="48"/>
      <c r="N6" s="48"/>
      <c r="O6" s="48"/>
      <c r="P6" s="48"/>
      <c r="Q6" s="126" t="s">
        <v>390</v>
      </c>
      <c r="R6" s="61" t="s">
        <v>175</v>
      </c>
      <c r="S6" s="98"/>
    </row>
    <row r="7" spans="1:19" x14ac:dyDescent="0.3">
      <c r="A7" s="98"/>
      <c r="B7" s="100"/>
      <c r="C7" s="82" t="s">
        <v>176</v>
      </c>
      <c r="D7" s="83" t="s">
        <v>177</v>
      </c>
      <c r="E7" s="82" t="s">
        <v>178</v>
      </c>
      <c r="F7" s="83" t="s">
        <v>179</v>
      </c>
      <c r="G7" s="82" t="s">
        <v>180</v>
      </c>
      <c r="H7" s="93" t="s">
        <v>181</v>
      </c>
      <c r="I7" s="576" t="s">
        <v>182</v>
      </c>
      <c r="J7" s="577"/>
      <c r="K7" s="578" t="s">
        <v>183</v>
      </c>
      <c r="L7" s="578"/>
      <c r="M7" s="579" t="s">
        <v>184</v>
      </c>
      <c r="N7" s="579"/>
      <c r="O7" s="580" t="s">
        <v>137</v>
      </c>
      <c r="P7" s="581"/>
      <c r="S7" s="98"/>
    </row>
    <row r="8" spans="1:19" x14ac:dyDescent="0.3">
      <c r="A8" s="98"/>
      <c r="B8" s="79" t="s">
        <v>185</v>
      </c>
      <c r="C8" s="78" t="s">
        <v>186</v>
      </c>
      <c r="D8" s="81" t="s">
        <v>186</v>
      </c>
      <c r="E8" s="78" t="s">
        <v>0</v>
      </c>
      <c r="F8" s="81" t="s">
        <v>191</v>
      </c>
      <c r="G8" s="78" t="s">
        <v>190</v>
      </c>
      <c r="H8" s="81" t="s">
        <v>189</v>
      </c>
      <c r="I8" s="78" t="s">
        <v>188</v>
      </c>
      <c r="J8" s="80"/>
      <c r="K8" s="81" t="s">
        <v>187</v>
      </c>
      <c r="L8" s="80"/>
      <c r="M8" s="78" t="s">
        <v>2</v>
      </c>
      <c r="N8" s="80"/>
      <c r="O8" s="81" t="s">
        <v>186</v>
      </c>
      <c r="P8" s="84"/>
      <c r="S8" s="98"/>
    </row>
    <row r="9" spans="1:19" x14ac:dyDescent="0.3">
      <c r="A9" s="98"/>
      <c r="B9" s="101">
        <v>1</v>
      </c>
      <c r="C9" s="77" t="s">
        <v>192</v>
      </c>
      <c r="D9" s="81">
        <v>100</v>
      </c>
      <c r="E9" s="78">
        <v>61</v>
      </c>
      <c r="F9" s="81">
        <v>1.38</v>
      </c>
      <c r="G9" s="78">
        <v>0.76</v>
      </c>
      <c r="H9" s="81">
        <v>0.21</v>
      </c>
      <c r="I9" s="78">
        <v>3.6</v>
      </c>
      <c r="J9" s="80"/>
      <c r="K9" s="81">
        <v>1</v>
      </c>
      <c r="L9" s="80"/>
      <c r="M9" s="78">
        <v>23</v>
      </c>
      <c r="N9" s="80"/>
      <c r="O9" s="81" t="s">
        <v>205</v>
      </c>
      <c r="P9" s="84"/>
      <c r="S9" s="98"/>
    </row>
    <row r="10" spans="1:19" x14ac:dyDescent="0.3">
      <c r="A10" s="98"/>
      <c r="B10" s="101">
        <f>1+B9</f>
        <v>2</v>
      </c>
      <c r="C10" s="77" t="s">
        <v>193</v>
      </c>
      <c r="D10" s="81">
        <v>250</v>
      </c>
      <c r="E10" s="78">
        <v>131</v>
      </c>
      <c r="F10" s="81">
        <v>1.58</v>
      </c>
      <c r="G10" s="78">
        <v>0.95</v>
      </c>
      <c r="H10" s="81">
        <v>0.28000000000000003</v>
      </c>
      <c r="I10" s="78">
        <v>3.4</v>
      </c>
      <c r="J10" s="80"/>
      <c r="K10" s="81">
        <v>1</v>
      </c>
      <c r="L10" s="80"/>
      <c r="M10" s="78">
        <v>62</v>
      </c>
      <c r="N10" s="80"/>
      <c r="O10" s="81" t="s">
        <v>205</v>
      </c>
      <c r="P10" s="84"/>
      <c r="S10" s="98"/>
    </row>
    <row r="11" spans="1:19" ht="16.2" thickBot="1" x14ac:dyDescent="0.35">
      <c r="A11" s="98"/>
      <c r="B11" s="156">
        <f t="shared" ref="B11:B22" si="0">1+B10</f>
        <v>3</v>
      </c>
      <c r="C11" s="157" t="s">
        <v>197</v>
      </c>
      <c r="D11" s="91">
        <v>500</v>
      </c>
      <c r="E11" s="90">
        <v>264</v>
      </c>
      <c r="F11" s="91">
        <v>1.83</v>
      </c>
      <c r="G11" s="90">
        <v>1.21</v>
      </c>
      <c r="H11" s="91">
        <v>0.36</v>
      </c>
      <c r="I11" s="90">
        <v>3.3</v>
      </c>
      <c r="J11" s="158"/>
      <c r="K11" s="91">
        <v>1</v>
      </c>
      <c r="L11" s="158"/>
      <c r="M11" s="90">
        <v>128</v>
      </c>
      <c r="N11" s="158"/>
      <c r="O11" s="91" t="s">
        <v>205</v>
      </c>
      <c r="P11" s="159"/>
      <c r="S11" s="98"/>
    </row>
    <row r="12" spans="1:19" ht="16.2" thickBot="1" x14ac:dyDescent="0.35">
      <c r="A12" s="98"/>
      <c r="B12" s="166">
        <f t="shared" si="0"/>
        <v>4</v>
      </c>
      <c r="C12" s="167" t="s">
        <v>194</v>
      </c>
      <c r="D12" s="168">
        <v>750</v>
      </c>
      <c r="E12" s="169">
        <v>373</v>
      </c>
      <c r="F12" s="168">
        <v>2.27</v>
      </c>
      <c r="G12" s="169">
        <v>1.42</v>
      </c>
      <c r="H12" s="168">
        <v>0.41</v>
      </c>
      <c r="I12" s="169">
        <v>3.5</v>
      </c>
      <c r="J12" s="170"/>
      <c r="K12" s="168">
        <v>1</v>
      </c>
      <c r="L12" s="170"/>
      <c r="M12" s="169">
        <v>177</v>
      </c>
      <c r="N12" s="170"/>
      <c r="O12" s="168" t="s">
        <v>205</v>
      </c>
      <c r="P12" s="171"/>
      <c r="S12" s="98"/>
    </row>
    <row r="13" spans="1:19" x14ac:dyDescent="0.3">
      <c r="A13" s="98"/>
      <c r="B13" s="160">
        <f t="shared" si="0"/>
        <v>5</v>
      </c>
      <c r="C13" s="161" t="s">
        <v>195</v>
      </c>
      <c r="D13" s="162">
        <v>1000</v>
      </c>
      <c r="E13" s="163">
        <v>547</v>
      </c>
      <c r="F13" s="162">
        <v>2.46</v>
      </c>
      <c r="G13" s="163">
        <v>1.37</v>
      </c>
      <c r="H13" s="162">
        <v>0.48</v>
      </c>
      <c r="I13" s="163">
        <v>2.8</v>
      </c>
      <c r="J13" s="164"/>
      <c r="K13" s="162">
        <v>1</v>
      </c>
      <c r="L13" s="164"/>
      <c r="M13" s="163">
        <v>270</v>
      </c>
      <c r="N13" s="164"/>
      <c r="O13" s="162" t="s">
        <v>205</v>
      </c>
      <c r="P13" s="165"/>
      <c r="S13" s="98"/>
    </row>
    <row r="14" spans="1:19" x14ac:dyDescent="0.3">
      <c r="A14" s="98"/>
      <c r="B14" s="101">
        <f t="shared" si="0"/>
        <v>6</v>
      </c>
      <c r="C14" s="77" t="s">
        <v>196</v>
      </c>
      <c r="D14" s="81">
        <v>2000</v>
      </c>
      <c r="E14" s="78">
        <v>1033</v>
      </c>
      <c r="F14" s="81">
        <v>2.97</v>
      </c>
      <c r="G14" s="78">
        <v>1.82</v>
      </c>
      <c r="H14" s="81">
        <v>0.59</v>
      </c>
      <c r="I14" s="78">
        <v>3.1</v>
      </c>
      <c r="J14" s="80"/>
      <c r="K14" s="81">
        <v>1</v>
      </c>
      <c r="L14" s="80"/>
      <c r="M14" s="78">
        <v>526</v>
      </c>
      <c r="N14" s="80"/>
      <c r="O14" s="81" t="s">
        <v>205</v>
      </c>
      <c r="P14" s="84"/>
      <c r="S14" s="98"/>
    </row>
    <row r="15" spans="1:19" x14ac:dyDescent="0.3">
      <c r="A15" s="98"/>
      <c r="B15" s="101">
        <f t="shared" si="0"/>
        <v>7</v>
      </c>
      <c r="C15" s="77" t="s">
        <v>186</v>
      </c>
      <c r="D15" s="81">
        <v>3000</v>
      </c>
      <c r="E15" s="78">
        <v>1383</v>
      </c>
      <c r="F15" s="81">
        <v>4.7</v>
      </c>
      <c r="G15" s="78">
        <v>3.07</v>
      </c>
      <c r="H15" s="81">
        <v>0.61</v>
      </c>
      <c r="I15" s="78">
        <v>5</v>
      </c>
      <c r="J15" s="80"/>
      <c r="K15" s="81">
        <v>1</v>
      </c>
      <c r="L15" s="80"/>
      <c r="M15" s="78">
        <v>816</v>
      </c>
      <c r="N15" s="80"/>
      <c r="O15" s="81" t="s">
        <v>205</v>
      </c>
      <c r="P15" s="84"/>
      <c r="S15" s="98"/>
    </row>
    <row r="16" spans="1:19" x14ac:dyDescent="0.3">
      <c r="A16" s="98"/>
      <c r="B16" s="101">
        <f t="shared" si="0"/>
        <v>8</v>
      </c>
      <c r="C16" s="77" t="s">
        <v>198</v>
      </c>
      <c r="D16" s="81">
        <v>250</v>
      </c>
      <c r="E16" s="78">
        <v>118</v>
      </c>
      <c r="F16" s="81">
        <v>1.88</v>
      </c>
      <c r="G16" s="78">
        <v>1.18</v>
      </c>
      <c r="H16" s="81">
        <v>0.23</v>
      </c>
      <c r="I16" s="78">
        <v>5.2</v>
      </c>
      <c r="J16" s="80"/>
      <c r="K16" s="81">
        <v>2.5</v>
      </c>
      <c r="L16" s="80"/>
      <c r="M16" s="78">
        <v>45</v>
      </c>
      <c r="N16" s="80"/>
      <c r="O16" s="81" t="s">
        <v>205</v>
      </c>
      <c r="P16" s="84"/>
      <c r="S16" s="98"/>
    </row>
    <row r="17" spans="1:19" x14ac:dyDescent="0.3">
      <c r="A17" s="98"/>
      <c r="B17" s="101">
        <f t="shared" si="0"/>
        <v>9</v>
      </c>
      <c r="C17" s="197" t="s">
        <v>199</v>
      </c>
      <c r="D17" s="198">
        <v>500</v>
      </c>
      <c r="E17" s="199">
        <v>241</v>
      </c>
      <c r="F17" s="198">
        <v>2.21</v>
      </c>
      <c r="G17" s="199">
        <v>1.55</v>
      </c>
      <c r="H17" s="198">
        <v>0.27</v>
      </c>
      <c r="I17" s="199">
        <v>5.7</v>
      </c>
      <c r="J17" s="200"/>
      <c r="K17" s="198">
        <v>2.5</v>
      </c>
      <c r="L17" s="200"/>
      <c r="M17" s="199">
        <v>87</v>
      </c>
      <c r="N17" s="200"/>
      <c r="O17" s="198" t="s">
        <v>205</v>
      </c>
      <c r="P17" s="84"/>
      <c r="S17" s="98"/>
    </row>
    <row r="18" spans="1:19" x14ac:dyDescent="0.3">
      <c r="A18" s="98"/>
      <c r="B18" s="101">
        <f t="shared" si="0"/>
        <v>10</v>
      </c>
      <c r="C18" s="361" t="s">
        <v>200</v>
      </c>
      <c r="D18" s="362">
        <v>1000</v>
      </c>
      <c r="E18" s="363">
        <v>441</v>
      </c>
      <c r="F18" s="362">
        <v>3.01</v>
      </c>
      <c r="G18" s="363">
        <v>1.92</v>
      </c>
      <c r="H18" s="362">
        <v>0.36</v>
      </c>
      <c r="I18" s="363">
        <v>5.3</v>
      </c>
      <c r="J18" s="364"/>
      <c r="K18" s="362">
        <v>2</v>
      </c>
      <c r="L18" s="364"/>
      <c r="M18" s="363">
        <v>215</v>
      </c>
      <c r="N18" s="364"/>
      <c r="O18" s="362" t="s">
        <v>205</v>
      </c>
      <c r="P18" s="84"/>
      <c r="S18" s="98"/>
    </row>
    <row r="19" spans="1:19" x14ac:dyDescent="0.3">
      <c r="A19" s="98"/>
      <c r="B19" s="101">
        <f t="shared" si="0"/>
        <v>11</v>
      </c>
      <c r="C19" s="77" t="s">
        <v>201</v>
      </c>
      <c r="D19" s="81">
        <v>2000</v>
      </c>
      <c r="E19" s="78">
        <v>894</v>
      </c>
      <c r="F19" s="81">
        <v>3.83</v>
      </c>
      <c r="G19" s="78">
        <v>2.41</v>
      </c>
      <c r="H19" s="81">
        <v>0.46</v>
      </c>
      <c r="I19" s="78">
        <v>5.2</v>
      </c>
      <c r="J19" s="80"/>
      <c r="K19" s="81">
        <v>2</v>
      </c>
      <c r="L19" s="80"/>
      <c r="M19" s="78">
        <v>430</v>
      </c>
      <c r="N19" s="80"/>
      <c r="O19" s="81" t="s">
        <v>205</v>
      </c>
      <c r="P19" s="84"/>
      <c r="S19" s="98"/>
    </row>
    <row r="20" spans="1:19" x14ac:dyDescent="0.3">
      <c r="A20" s="98"/>
      <c r="B20" s="101">
        <f t="shared" si="0"/>
        <v>12</v>
      </c>
      <c r="C20" s="77" t="s">
        <v>202</v>
      </c>
      <c r="D20" s="81">
        <v>250</v>
      </c>
      <c r="E20" s="78">
        <v>134</v>
      </c>
      <c r="F20" s="81">
        <v>1.91</v>
      </c>
      <c r="G20" s="78">
        <v>1.19</v>
      </c>
      <c r="H20" s="81">
        <v>0.23</v>
      </c>
      <c r="I20" s="78">
        <v>5.2</v>
      </c>
      <c r="J20" s="80"/>
      <c r="K20" s="81">
        <v>2.5</v>
      </c>
      <c r="L20" s="80"/>
      <c r="M20" s="78">
        <v>45</v>
      </c>
      <c r="N20" s="80"/>
      <c r="O20" s="81" t="s">
        <v>205</v>
      </c>
      <c r="P20" s="84"/>
      <c r="S20" s="98"/>
    </row>
    <row r="21" spans="1:19" x14ac:dyDescent="0.3">
      <c r="A21" s="98"/>
      <c r="B21" s="101">
        <f t="shared" si="0"/>
        <v>13</v>
      </c>
      <c r="C21" s="77" t="s">
        <v>203</v>
      </c>
      <c r="D21" s="81">
        <v>500</v>
      </c>
      <c r="E21" s="78">
        <v>260</v>
      </c>
      <c r="F21" s="81">
        <v>2.2599999999999998</v>
      </c>
      <c r="G21" s="78">
        <v>1.55</v>
      </c>
      <c r="H21" s="81">
        <v>0.27</v>
      </c>
      <c r="I21" s="78">
        <v>5.7</v>
      </c>
      <c r="J21" s="80"/>
      <c r="K21" s="81">
        <v>2.5</v>
      </c>
      <c r="L21" s="80"/>
      <c r="M21" s="78">
        <v>87</v>
      </c>
      <c r="N21" s="80"/>
      <c r="O21" s="81" t="s">
        <v>205</v>
      </c>
      <c r="P21" s="84"/>
      <c r="S21" s="98"/>
    </row>
    <row r="22" spans="1:19" ht="16.2" thickBot="1" x14ac:dyDescent="0.35">
      <c r="A22" s="98"/>
      <c r="B22" s="102">
        <f t="shared" si="0"/>
        <v>14</v>
      </c>
      <c r="C22" s="85" t="s">
        <v>204</v>
      </c>
      <c r="D22" s="86">
        <v>750</v>
      </c>
      <c r="E22" s="90">
        <v>380</v>
      </c>
      <c r="F22" s="91">
        <v>2.21</v>
      </c>
      <c r="G22" s="90">
        <v>1.1200000000000001</v>
      </c>
      <c r="H22" s="91">
        <v>0.11</v>
      </c>
      <c r="I22" s="90">
        <v>3.5</v>
      </c>
      <c r="J22" s="88"/>
      <c r="K22" s="86">
        <v>1</v>
      </c>
      <c r="L22" s="88"/>
      <c r="M22" s="87">
        <v>177</v>
      </c>
      <c r="N22" s="88"/>
      <c r="O22" s="86" t="s">
        <v>205</v>
      </c>
      <c r="P22" s="89"/>
      <c r="S22" s="98"/>
    </row>
    <row r="23" spans="1:19" x14ac:dyDescent="0.3">
      <c r="A23" s="98"/>
      <c r="E23" s="124">
        <v>547</v>
      </c>
      <c r="F23" s="124">
        <v>2.46</v>
      </c>
      <c r="G23" s="124">
        <v>1.37</v>
      </c>
      <c r="H23" s="124">
        <v>0.48</v>
      </c>
      <c r="I23" s="124">
        <v>2.8</v>
      </c>
      <c r="J23" s="12"/>
      <c r="K23" s="172">
        <v>1</v>
      </c>
      <c r="L23" s="12"/>
      <c r="M23" s="172">
        <v>270</v>
      </c>
      <c r="S23" s="98"/>
    </row>
    <row r="24" spans="1:19" ht="17.399999999999999" x14ac:dyDescent="0.3">
      <c r="A24" s="98"/>
      <c r="E24" s="54"/>
      <c r="K24" s="11"/>
      <c r="L24" s="11"/>
      <c r="M24" s="11"/>
      <c r="N24" s="11"/>
      <c r="O24" s="11"/>
      <c r="P24" s="11"/>
      <c r="Q24" s="11"/>
      <c r="R24" s="92" t="s">
        <v>206</v>
      </c>
      <c r="S24" s="98"/>
    </row>
    <row r="25" spans="1:19" x14ac:dyDescent="0.3">
      <c r="A25" s="98"/>
      <c r="S25" s="98"/>
    </row>
    <row r="26" spans="1:19" x14ac:dyDescent="0.3">
      <c r="A26" s="98"/>
      <c r="F26" s="483" t="s">
        <v>135</v>
      </c>
      <c r="G26" s="483"/>
      <c r="N26" s="483" t="s">
        <v>136</v>
      </c>
      <c r="O26" s="483"/>
      <c r="S26" s="98"/>
    </row>
    <row r="27" spans="1:19" x14ac:dyDescent="0.3">
      <c r="A27" s="98"/>
      <c r="B27" s="587" t="s">
        <v>41</v>
      </c>
      <c r="C27" s="588"/>
      <c r="D27" s="588"/>
      <c r="E27" s="588"/>
      <c r="F27" s="588"/>
      <c r="G27" s="588"/>
      <c r="H27" s="588"/>
      <c r="I27" s="588"/>
      <c r="J27" s="588"/>
      <c r="L27" s="575" t="s">
        <v>137</v>
      </c>
      <c r="M27" s="575"/>
      <c r="N27" s="63" t="s">
        <v>138</v>
      </c>
      <c r="O27" s="63" t="s">
        <v>139</v>
      </c>
      <c r="P27" s="63" t="s">
        <v>140</v>
      </c>
      <c r="Q27" s="63" t="s">
        <v>141</v>
      </c>
      <c r="R27" s="95" t="s">
        <v>142</v>
      </c>
      <c r="S27" s="98"/>
    </row>
    <row r="28" spans="1:19" x14ac:dyDescent="0.3">
      <c r="A28" s="98"/>
      <c r="B28" s="103"/>
      <c r="C28" s="21"/>
      <c r="D28" s="588" t="s">
        <v>42</v>
      </c>
      <c r="E28" s="588"/>
      <c r="F28" s="588"/>
      <c r="G28" s="588"/>
      <c r="H28" s="588"/>
      <c r="I28" s="530" t="s">
        <v>50</v>
      </c>
      <c r="J28" s="531"/>
      <c r="L28" s="575" t="s">
        <v>208</v>
      </c>
      <c r="M28" s="575"/>
      <c r="N28" s="201">
        <v>1.639</v>
      </c>
      <c r="O28" s="25">
        <v>1.34</v>
      </c>
      <c r="P28" s="25">
        <v>1.26</v>
      </c>
      <c r="Q28" s="25">
        <v>1.23</v>
      </c>
      <c r="R28" s="96">
        <v>1.05</v>
      </c>
      <c r="S28" s="98"/>
    </row>
    <row r="29" spans="1:19" x14ac:dyDescent="0.3">
      <c r="A29" s="98"/>
      <c r="B29" s="103"/>
      <c r="C29" s="21"/>
      <c r="D29" s="62" t="s">
        <v>52</v>
      </c>
      <c r="E29" s="202" t="s">
        <v>44</v>
      </c>
      <c r="F29" s="21" t="s">
        <v>45</v>
      </c>
      <c r="H29" s="21"/>
      <c r="I29" s="229" t="s">
        <v>43</v>
      </c>
      <c r="J29" s="229" t="s">
        <v>7</v>
      </c>
      <c r="L29" s="104" t="s">
        <v>145</v>
      </c>
      <c r="M29" s="124">
        <v>1.639</v>
      </c>
      <c r="S29" s="98"/>
    </row>
    <row r="30" spans="1:19" x14ac:dyDescent="0.3">
      <c r="A30" s="98"/>
      <c r="B30" s="103"/>
      <c r="C30" s="21"/>
      <c r="D30" s="22" t="s">
        <v>51</v>
      </c>
      <c r="E30" s="202" t="s">
        <v>47</v>
      </c>
      <c r="F30" s="21" t="s">
        <v>48</v>
      </c>
      <c r="H30" s="21"/>
      <c r="I30" s="23" t="s">
        <v>46</v>
      </c>
      <c r="J30" s="23" t="s">
        <v>49</v>
      </c>
      <c r="R30" t="s">
        <v>209</v>
      </c>
      <c r="S30" s="98"/>
    </row>
    <row r="31" spans="1:19" ht="16.2" thickBot="1" x14ac:dyDescent="0.35">
      <c r="A31" s="98"/>
      <c r="B31" s="103"/>
      <c r="C31" s="21"/>
      <c r="D31" s="21"/>
      <c r="E31" s="21"/>
      <c r="F31" s="21"/>
      <c r="G31" s="24"/>
      <c r="H31" s="21"/>
      <c r="I31" s="21"/>
      <c r="J31" s="120"/>
      <c r="S31" s="98"/>
    </row>
    <row r="32" spans="1:19" x14ac:dyDescent="0.3">
      <c r="A32" s="98"/>
      <c r="B32" s="105" t="s">
        <v>143</v>
      </c>
      <c r="C32" s="172">
        <v>600</v>
      </c>
      <c r="E32" s="104" t="s">
        <v>144</v>
      </c>
      <c r="F32" s="172">
        <v>30</v>
      </c>
      <c r="J32" s="121"/>
      <c r="S32" s="98"/>
    </row>
    <row r="33" spans="1:19" ht="16.2" thickBot="1" x14ac:dyDescent="0.35">
      <c r="A33" s="98"/>
      <c r="J33" s="122"/>
      <c r="S33" s="98"/>
    </row>
    <row r="34" spans="1:19" ht="16.2" thickBot="1" x14ac:dyDescent="0.35">
      <c r="A34" s="98"/>
      <c r="D34" s="118"/>
      <c r="E34" s="68"/>
      <c r="F34" s="68"/>
      <c r="G34" s="68"/>
      <c r="H34" s="68"/>
      <c r="I34" s="68"/>
      <c r="J34" s="45" t="s">
        <v>360</v>
      </c>
      <c r="S34" s="98"/>
    </row>
    <row r="35" spans="1:19" ht="16.2" thickBot="1" x14ac:dyDescent="0.35">
      <c r="A35" s="98"/>
      <c r="M35" s="48"/>
      <c r="N35" s="125"/>
      <c r="O35" s="125"/>
      <c r="P35" s="125"/>
      <c r="Q35" s="125" t="s">
        <v>266</v>
      </c>
      <c r="R35" s="44" t="s">
        <v>265</v>
      </c>
      <c r="S35" s="98"/>
    </row>
    <row r="36" spans="1:19" x14ac:dyDescent="0.3">
      <c r="A36" s="98"/>
      <c r="S36" s="98"/>
    </row>
    <row r="37" spans="1:19" ht="16.2" thickBot="1" x14ac:dyDescent="0.35">
      <c r="A37" s="98"/>
      <c r="N37" s="12"/>
      <c r="O37" s="39"/>
      <c r="P37" s="39"/>
      <c r="Q37" s="39"/>
      <c r="R37" s="39"/>
    </row>
    <row r="38" spans="1:19" ht="16.2" thickBot="1" x14ac:dyDescent="0.35">
      <c r="A38" s="98"/>
      <c r="G38" s="556" t="s">
        <v>210</v>
      </c>
      <c r="H38" s="557"/>
      <c r="N38" s="325"/>
      <c r="O38" s="39"/>
      <c r="P38" s="39"/>
      <c r="Q38" s="39"/>
      <c r="R38" s="39"/>
    </row>
    <row r="39" spans="1:19" x14ac:dyDescent="0.3">
      <c r="A39" s="98"/>
      <c r="C39" s="527" t="s">
        <v>215</v>
      </c>
      <c r="D39" s="528"/>
      <c r="E39" s="528"/>
      <c r="F39" s="528"/>
      <c r="G39" s="529" t="s">
        <v>211</v>
      </c>
      <c r="H39" s="529"/>
      <c r="I39" s="529" t="s">
        <v>212</v>
      </c>
      <c r="J39" s="529"/>
      <c r="K39" s="149" t="s">
        <v>213</v>
      </c>
      <c r="L39" s="529" t="s">
        <v>214</v>
      </c>
      <c r="M39" s="586"/>
      <c r="N39" s="12"/>
      <c r="O39" s="39"/>
      <c r="P39" s="39"/>
      <c r="Q39" s="39"/>
      <c r="R39" s="39"/>
    </row>
    <row r="40" spans="1:19" x14ac:dyDescent="0.3">
      <c r="A40" s="98"/>
      <c r="C40" s="111"/>
      <c r="D40" s="109"/>
      <c r="E40" s="523" t="s">
        <v>185</v>
      </c>
      <c r="F40" s="523"/>
      <c r="G40" s="106" t="s">
        <v>216</v>
      </c>
      <c r="H40" s="107"/>
      <c r="I40" s="106" t="s">
        <v>217</v>
      </c>
      <c r="J40" s="107"/>
      <c r="K40" s="106" t="s">
        <v>218</v>
      </c>
      <c r="L40" s="107"/>
      <c r="M40" s="324" t="s">
        <v>219</v>
      </c>
      <c r="N40" s="258"/>
      <c r="O40" s="12"/>
    </row>
    <row r="41" spans="1:19" x14ac:dyDescent="0.3">
      <c r="A41" s="98"/>
      <c r="C41" s="539" t="s">
        <v>220</v>
      </c>
      <c r="D41" s="540"/>
      <c r="E41" s="540"/>
      <c r="F41" s="541"/>
      <c r="G41" s="113">
        <v>1.2999999999999999E-5</v>
      </c>
      <c r="H41" s="108"/>
      <c r="I41" s="25">
        <v>0.6</v>
      </c>
      <c r="J41" s="108"/>
      <c r="K41" s="25">
        <v>0.85</v>
      </c>
      <c r="L41" s="108"/>
      <c r="M41" s="96" t="s">
        <v>186</v>
      </c>
    </row>
    <row r="42" spans="1:19" ht="16.2" thickBot="1" x14ac:dyDescent="0.35">
      <c r="A42" s="98"/>
      <c r="C42" s="542" t="s">
        <v>221</v>
      </c>
      <c r="D42" s="543"/>
      <c r="E42" s="543"/>
      <c r="F42" s="544"/>
      <c r="G42" s="174">
        <v>6.9999999999999999E-6</v>
      </c>
      <c r="H42" s="175"/>
      <c r="I42" s="133">
        <v>0.5</v>
      </c>
      <c r="J42" s="175"/>
      <c r="K42" s="133">
        <v>0.6</v>
      </c>
      <c r="L42" s="175"/>
      <c r="M42" s="259" t="s">
        <v>186</v>
      </c>
    </row>
    <row r="43" spans="1:19" ht="16.2" thickBot="1" x14ac:dyDescent="0.35">
      <c r="A43" s="98"/>
      <c r="C43" s="545" t="s">
        <v>239</v>
      </c>
      <c r="D43" s="546"/>
      <c r="E43" s="546"/>
      <c r="F43" s="547"/>
      <c r="G43" s="203">
        <v>6.0000000000000002E-6</v>
      </c>
      <c r="H43" s="204"/>
      <c r="I43" s="205">
        <v>0.5</v>
      </c>
      <c r="J43" s="204"/>
      <c r="K43" s="205">
        <v>0.6</v>
      </c>
      <c r="L43" s="204"/>
      <c r="M43" s="206" t="s">
        <v>186</v>
      </c>
      <c r="S43" s="98"/>
    </row>
    <row r="44" spans="1:19" ht="16.2" thickBot="1" x14ac:dyDescent="0.35">
      <c r="A44" s="98"/>
      <c r="C44" s="545" t="s">
        <v>222</v>
      </c>
      <c r="D44" s="546"/>
      <c r="E44" s="546"/>
      <c r="F44" s="547"/>
      <c r="G44" s="203">
        <v>5.0000000000000004E-6</v>
      </c>
      <c r="H44" s="204"/>
      <c r="I44" s="205">
        <v>0.5</v>
      </c>
      <c r="J44" s="204"/>
      <c r="K44" s="205">
        <v>0.6</v>
      </c>
      <c r="L44" s="204"/>
      <c r="M44" s="206" t="s">
        <v>186</v>
      </c>
      <c r="S44" s="98"/>
    </row>
    <row r="45" spans="1:19" ht="16.2" thickBot="1" x14ac:dyDescent="0.35">
      <c r="A45" s="98"/>
      <c r="C45" s="589" t="s">
        <v>469</v>
      </c>
      <c r="D45" s="590"/>
      <c r="E45" s="590"/>
      <c r="F45" s="591"/>
      <c r="G45" s="336">
        <v>4.5000000000000001E-6</v>
      </c>
      <c r="H45" s="337"/>
      <c r="I45" s="334">
        <v>0.5</v>
      </c>
      <c r="J45" s="337"/>
      <c r="K45" s="334">
        <v>0.63</v>
      </c>
      <c r="L45" s="298"/>
      <c r="M45" s="299" t="s">
        <v>186</v>
      </c>
      <c r="S45" s="98"/>
    </row>
    <row r="46" spans="1:19" ht="16.2" thickBot="1" x14ac:dyDescent="0.35">
      <c r="A46" s="98"/>
      <c r="C46" s="533" t="s">
        <v>223</v>
      </c>
      <c r="D46" s="534"/>
      <c r="E46" s="534"/>
      <c r="F46" s="535"/>
      <c r="G46" s="300">
        <v>3.0000000000000001E-6</v>
      </c>
      <c r="H46" s="301"/>
      <c r="I46" s="302">
        <v>0.25</v>
      </c>
      <c r="J46" s="301"/>
      <c r="K46" s="302">
        <v>0.57999999999999996</v>
      </c>
      <c r="L46" s="301"/>
      <c r="M46" s="303">
        <v>0.88</v>
      </c>
      <c r="P46" s="556" t="s">
        <v>232</v>
      </c>
      <c r="Q46" s="557"/>
      <c r="S46" s="98"/>
    </row>
    <row r="47" spans="1:19" ht="16.2" thickBot="1" x14ac:dyDescent="0.35">
      <c r="A47" s="98"/>
      <c r="C47" s="533" t="s">
        <v>224</v>
      </c>
      <c r="D47" s="534"/>
      <c r="E47" s="534"/>
      <c r="F47" s="535"/>
      <c r="G47" s="300">
        <v>2.5000000000000002E-6</v>
      </c>
      <c r="H47" s="301"/>
      <c r="I47" s="302">
        <v>0.25</v>
      </c>
      <c r="J47" s="301"/>
      <c r="K47" s="302">
        <v>0.61</v>
      </c>
      <c r="L47" s="301"/>
      <c r="M47" s="304">
        <v>0.81</v>
      </c>
      <c r="N47" s="554" t="s">
        <v>234</v>
      </c>
      <c r="O47" s="555"/>
      <c r="P47" s="555"/>
      <c r="Q47" s="186" t="s">
        <v>63</v>
      </c>
      <c r="R47" s="187" t="s">
        <v>233</v>
      </c>
      <c r="S47" s="114"/>
    </row>
    <row r="48" spans="1:19" ht="16.2" thickBot="1" x14ac:dyDescent="0.35">
      <c r="A48" s="98"/>
      <c r="C48" s="533" t="s">
        <v>225</v>
      </c>
      <c r="D48" s="534"/>
      <c r="E48" s="534"/>
      <c r="F48" s="535"/>
      <c r="G48" s="300">
        <v>6.9999999999999997E-7</v>
      </c>
      <c r="H48" s="301"/>
      <c r="I48" s="302">
        <v>0.2</v>
      </c>
      <c r="J48" s="301"/>
      <c r="K48" s="302">
        <v>0.53</v>
      </c>
      <c r="L48" s="301"/>
      <c r="M48" s="304">
        <v>0.75</v>
      </c>
      <c r="N48" s="518" t="s">
        <v>235</v>
      </c>
      <c r="O48" s="519"/>
      <c r="P48" s="519"/>
      <c r="Q48" s="309" t="s">
        <v>236</v>
      </c>
      <c r="R48" s="206">
        <v>3</v>
      </c>
      <c r="S48" s="114"/>
    </row>
    <row r="49" spans="1:19" ht="16.2" thickBot="1" x14ac:dyDescent="0.35">
      <c r="A49" s="98"/>
      <c r="C49" s="536" t="s">
        <v>470</v>
      </c>
      <c r="D49" s="537"/>
      <c r="E49" s="537"/>
      <c r="F49" s="538"/>
      <c r="G49" s="338">
        <v>1.5E-6</v>
      </c>
      <c r="H49" s="296"/>
      <c r="I49" s="296">
        <v>0.25</v>
      </c>
      <c r="J49" s="296"/>
      <c r="K49" s="296">
        <v>0.56000000000000005</v>
      </c>
      <c r="L49" s="296"/>
      <c r="M49" s="339">
        <v>0.79</v>
      </c>
      <c r="N49" s="518" t="s">
        <v>237</v>
      </c>
      <c r="O49" s="519"/>
      <c r="P49" s="519"/>
      <c r="Q49" s="205">
        <v>5</v>
      </c>
      <c r="R49" s="206">
        <v>3</v>
      </c>
      <c r="S49" s="114"/>
    </row>
    <row r="50" spans="1:19" ht="16.2" thickBot="1" x14ac:dyDescent="0.35">
      <c r="A50" s="98"/>
      <c r="C50" s="545" t="s">
        <v>226</v>
      </c>
      <c r="D50" s="546"/>
      <c r="E50" s="546"/>
      <c r="F50" s="547"/>
      <c r="G50" s="203">
        <v>1.1999999999999999E-6</v>
      </c>
      <c r="H50" s="204"/>
      <c r="I50" s="205">
        <v>0.16</v>
      </c>
      <c r="J50" s="204"/>
      <c r="K50" s="205">
        <v>0.36</v>
      </c>
      <c r="L50" s="204"/>
      <c r="M50" s="206">
        <v>0.51</v>
      </c>
      <c r="N50" s="558" t="s">
        <v>221</v>
      </c>
      <c r="O50" s="523"/>
      <c r="P50" s="523"/>
      <c r="Q50" s="106">
        <v>18</v>
      </c>
      <c r="R50" s="112">
        <v>2.8</v>
      </c>
      <c r="S50" s="114"/>
    </row>
    <row r="51" spans="1:19" ht="16.2" thickBot="1" x14ac:dyDescent="0.35">
      <c r="A51" s="98"/>
      <c r="C51" s="568" t="s">
        <v>227</v>
      </c>
      <c r="D51" s="569"/>
      <c r="E51" s="569"/>
      <c r="F51" s="570"/>
      <c r="G51" s="305">
        <v>9.9999999999999995E-7</v>
      </c>
      <c r="H51" s="306"/>
      <c r="I51" s="307">
        <v>0.16</v>
      </c>
      <c r="J51" s="306"/>
      <c r="K51" s="307">
        <v>0.34</v>
      </c>
      <c r="L51" s="306"/>
      <c r="M51" s="308">
        <v>0.48</v>
      </c>
      <c r="N51" s="564" t="s">
        <v>240</v>
      </c>
      <c r="O51" s="540"/>
      <c r="P51" s="541"/>
      <c r="Q51" s="25">
        <v>4</v>
      </c>
      <c r="R51" s="25">
        <v>3</v>
      </c>
      <c r="S51" s="114"/>
    </row>
    <row r="52" spans="1:19" ht="16.2" thickBot="1" x14ac:dyDescent="0.35">
      <c r="A52" s="98"/>
      <c r="C52" s="545" t="s">
        <v>228</v>
      </c>
      <c r="D52" s="546"/>
      <c r="E52" s="546"/>
      <c r="F52" s="547"/>
      <c r="G52" s="203">
        <v>7.9999999999999996E-7</v>
      </c>
      <c r="H52" s="204"/>
      <c r="I52" s="205">
        <v>0.13</v>
      </c>
      <c r="J52" s="204"/>
      <c r="K52" s="205">
        <v>0.32</v>
      </c>
      <c r="L52" s="204"/>
      <c r="M52" s="206">
        <v>0.46</v>
      </c>
      <c r="N52" s="559" t="s">
        <v>454</v>
      </c>
      <c r="O52" s="560"/>
      <c r="P52" s="560"/>
      <c r="Q52" s="184">
        <v>5</v>
      </c>
      <c r="R52" s="184">
        <v>3</v>
      </c>
      <c r="S52" s="114"/>
    </row>
    <row r="53" spans="1:19" ht="16.2" thickBot="1" x14ac:dyDescent="0.35">
      <c r="A53" s="98"/>
      <c r="C53" s="571" t="s">
        <v>229</v>
      </c>
      <c r="D53" s="463"/>
      <c r="E53" s="463"/>
      <c r="F53" s="572"/>
      <c r="G53" s="179">
        <v>6.9999999999999997E-7</v>
      </c>
      <c r="H53" s="180"/>
      <c r="I53" s="179">
        <v>0.13</v>
      </c>
      <c r="J53" s="180"/>
      <c r="K53" s="179">
        <v>0.3</v>
      </c>
      <c r="L53" s="180"/>
      <c r="M53" s="181">
        <v>0.44</v>
      </c>
      <c r="N53" s="561"/>
      <c r="O53" s="562"/>
      <c r="P53" s="563"/>
      <c r="Q53" s="173"/>
      <c r="R53" s="173"/>
      <c r="S53" s="98"/>
    </row>
    <row r="54" spans="1:19" x14ac:dyDescent="0.3">
      <c r="A54" s="98"/>
      <c r="C54" s="551"/>
      <c r="D54" s="552"/>
      <c r="E54" s="552"/>
      <c r="F54" s="553"/>
      <c r="G54" s="182"/>
      <c r="H54" s="110"/>
      <c r="I54" s="184"/>
      <c r="J54" s="110"/>
      <c r="K54" s="184"/>
      <c r="L54" s="110"/>
      <c r="M54" s="185"/>
      <c r="N54" s="565" t="s">
        <v>238</v>
      </c>
      <c r="O54" s="566"/>
      <c r="P54" s="566"/>
      <c r="Q54" s="566"/>
      <c r="R54" s="567"/>
      <c r="S54" s="98"/>
    </row>
    <row r="55" spans="1:19" ht="16.2" thickBot="1" x14ac:dyDescent="0.35">
      <c r="A55" s="98"/>
      <c r="C55" s="548"/>
      <c r="D55" s="549"/>
      <c r="E55" s="549"/>
      <c r="F55" s="550"/>
      <c r="G55" s="183"/>
      <c r="H55" s="110"/>
      <c r="I55" s="124"/>
      <c r="J55" s="110"/>
      <c r="K55" s="124"/>
      <c r="L55" s="110"/>
      <c r="M55" s="124"/>
      <c r="N55" s="115"/>
      <c r="O55" s="116"/>
      <c r="P55" s="116"/>
      <c r="Q55" s="116"/>
      <c r="R55" s="117" t="s">
        <v>455</v>
      </c>
      <c r="S55" s="98"/>
    </row>
    <row r="56" spans="1:19" x14ac:dyDescent="0.3">
      <c r="A56" s="98"/>
      <c r="C56" s="548" t="s">
        <v>230</v>
      </c>
      <c r="D56" s="549"/>
      <c r="E56" s="549"/>
      <c r="F56" s="550"/>
      <c r="G56" s="183">
        <v>1.5E-6</v>
      </c>
      <c r="H56" s="110"/>
      <c r="I56" s="124">
        <v>0.25</v>
      </c>
      <c r="J56" s="110"/>
      <c r="K56" s="124">
        <v>0.56000000000000005</v>
      </c>
      <c r="L56" s="110"/>
      <c r="M56" s="124">
        <v>0.79</v>
      </c>
      <c r="S56" s="98"/>
    </row>
    <row r="57" spans="1:19" ht="16.2" thickBot="1" x14ac:dyDescent="0.35">
      <c r="A57" s="98"/>
      <c r="C57" s="548"/>
      <c r="D57" s="549"/>
      <c r="E57" s="549"/>
      <c r="F57" s="550"/>
      <c r="G57" s="183"/>
      <c r="H57" s="119"/>
      <c r="I57" s="173"/>
      <c r="J57" s="119"/>
      <c r="K57" s="173"/>
      <c r="L57" s="119"/>
      <c r="M57" s="173"/>
      <c r="S57" s="98"/>
    </row>
    <row r="58" spans="1:19" ht="16.2" thickBot="1" x14ac:dyDescent="0.35">
      <c r="A58" s="98"/>
      <c r="H58" s="118"/>
      <c r="I58" s="68"/>
      <c r="J58" s="68"/>
      <c r="K58" s="68"/>
      <c r="L58" s="68"/>
      <c r="M58" s="69" t="s">
        <v>231</v>
      </c>
      <c r="S58" s="98"/>
    </row>
    <row r="59" spans="1:19" x14ac:dyDescent="0.3">
      <c r="A59" s="98"/>
      <c r="S59" s="98"/>
    </row>
    <row r="60" spans="1:19" ht="16.2" thickBot="1" x14ac:dyDescent="0.35">
      <c r="A60" s="98"/>
      <c r="S60" s="98"/>
    </row>
    <row r="61" spans="1:19" ht="16.2" thickBot="1" x14ac:dyDescent="0.35">
      <c r="A61" s="98"/>
      <c r="F61" s="516" t="s">
        <v>259</v>
      </c>
      <c r="G61" s="517"/>
      <c r="L61" s="214"/>
      <c r="M61" s="215"/>
      <c r="N61" s="215"/>
      <c r="O61" s="215"/>
      <c r="P61" s="215"/>
      <c r="Q61" s="215"/>
      <c r="R61" s="216" t="s">
        <v>384</v>
      </c>
      <c r="S61" s="98"/>
    </row>
    <row r="62" spans="1:19" x14ac:dyDescent="0.3">
      <c r="A62" s="123"/>
      <c r="B62" s="513" t="s">
        <v>234</v>
      </c>
      <c r="C62" s="513"/>
      <c r="D62" s="513" t="s">
        <v>241</v>
      </c>
      <c r="E62" s="513"/>
      <c r="F62" s="514" t="s">
        <v>242</v>
      </c>
      <c r="G62" s="514"/>
      <c r="H62" s="513"/>
      <c r="I62" s="150" t="s">
        <v>243</v>
      </c>
      <c r="J62" s="513" t="s">
        <v>244</v>
      </c>
      <c r="K62" s="582"/>
      <c r="L62" s="217"/>
      <c r="M62" s="218"/>
      <c r="N62" s="218"/>
      <c r="O62" s="218"/>
      <c r="P62" s="218"/>
      <c r="Q62" s="218"/>
      <c r="R62" s="219" t="s">
        <v>385</v>
      </c>
      <c r="S62" s="98"/>
    </row>
    <row r="63" spans="1:19" ht="18" thickBot="1" x14ac:dyDescent="0.35">
      <c r="A63" s="123"/>
      <c r="B63" s="532" t="s">
        <v>185</v>
      </c>
      <c r="C63" s="532"/>
      <c r="D63" s="526" t="s">
        <v>245</v>
      </c>
      <c r="E63" s="512"/>
      <c r="F63" s="512" t="s">
        <v>260</v>
      </c>
      <c r="G63" s="512"/>
      <c r="H63" s="512"/>
      <c r="I63" s="133" t="s">
        <v>261</v>
      </c>
      <c r="J63" s="512" t="s">
        <v>155</v>
      </c>
      <c r="K63" s="520"/>
      <c r="L63" s="217"/>
      <c r="M63" s="218"/>
      <c r="N63" s="218"/>
      <c r="O63" s="218"/>
      <c r="P63" s="218"/>
      <c r="Q63" s="218"/>
      <c r="R63" s="219" t="s">
        <v>387</v>
      </c>
      <c r="S63" s="98"/>
    </row>
    <row r="64" spans="1:19" ht="16.2" thickBot="1" x14ac:dyDescent="0.35">
      <c r="A64" s="123"/>
      <c r="B64" s="507" t="s">
        <v>235</v>
      </c>
      <c r="C64" s="508"/>
      <c r="D64" s="521" t="s">
        <v>249</v>
      </c>
      <c r="E64" s="521"/>
      <c r="F64" s="521" t="s">
        <v>248</v>
      </c>
      <c r="G64" s="521"/>
      <c r="H64" s="521"/>
      <c r="I64" s="205" t="s">
        <v>246</v>
      </c>
      <c r="J64" s="521" t="s">
        <v>247</v>
      </c>
      <c r="K64" s="583"/>
      <c r="L64" s="217"/>
      <c r="M64" s="218"/>
      <c r="N64" s="218"/>
      <c r="O64" s="218"/>
      <c r="P64" s="218"/>
      <c r="Q64" s="218"/>
      <c r="R64" s="219" t="s">
        <v>386</v>
      </c>
      <c r="S64" s="98"/>
    </row>
    <row r="65" spans="1:19" ht="16.2" thickBot="1" x14ac:dyDescent="0.35">
      <c r="A65" s="123"/>
      <c r="B65" s="509" t="s">
        <v>240</v>
      </c>
      <c r="C65" s="509"/>
      <c r="D65" s="522" t="s">
        <v>250</v>
      </c>
      <c r="E65" s="522"/>
      <c r="F65" s="522" t="s">
        <v>251</v>
      </c>
      <c r="G65" s="522"/>
      <c r="H65" s="522"/>
      <c r="I65" s="307">
        <v>2.5</v>
      </c>
      <c r="J65" s="522" t="s">
        <v>252</v>
      </c>
      <c r="K65" s="584"/>
      <c r="L65" s="220"/>
      <c r="M65" s="221"/>
      <c r="N65" s="221"/>
      <c r="O65" s="221"/>
      <c r="P65" s="221"/>
      <c r="Q65" s="221"/>
      <c r="R65" s="222" t="s">
        <v>388</v>
      </c>
      <c r="S65" s="98"/>
    </row>
    <row r="66" spans="1:19" ht="16.2" thickBot="1" x14ac:dyDescent="0.35">
      <c r="A66" s="123"/>
      <c r="B66" s="507" t="s">
        <v>237</v>
      </c>
      <c r="C66" s="508"/>
      <c r="D66" s="521" t="s">
        <v>253</v>
      </c>
      <c r="E66" s="521"/>
      <c r="F66" s="521" t="s">
        <v>254</v>
      </c>
      <c r="G66" s="521"/>
      <c r="H66" s="521"/>
      <c r="I66" s="205">
        <v>2</v>
      </c>
      <c r="J66" s="521" t="s">
        <v>255</v>
      </c>
      <c r="K66" s="524"/>
      <c r="S66" s="98"/>
    </row>
    <row r="67" spans="1:19" x14ac:dyDescent="0.3">
      <c r="A67" s="123"/>
      <c r="B67" s="510" t="s">
        <v>221</v>
      </c>
      <c r="C67" s="510"/>
      <c r="D67" s="523" t="s">
        <v>256</v>
      </c>
      <c r="E67" s="523"/>
      <c r="F67" s="523" t="s">
        <v>257</v>
      </c>
      <c r="G67" s="523"/>
      <c r="H67" s="523"/>
      <c r="I67" s="106">
        <v>1.5</v>
      </c>
      <c r="J67" s="523" t="s">
        <v>258</v>
      </c>
      <c r="K67" s="523"/>
      <c r="S67" s="98"/>
    </row>
    <row r="68" spans="1:19" x14ac:dyDescent="0.3">
      <c r="A68" s="123"/>
      <c r="B68" s="525" t="s">
        <v>456</v>
      </c>
      <c r="C68" s="525"/>
      <c r="D68" s="188">
        <v>180</v>
      </c>
      <c r="E68" s="136"/>
      <c r="F68" s="124">
        <v>600</v>
      </c>
      <c r="G68" s="136"/>
      <c r="H68" s="136"/>
      <c r="I68" s="124">
        <v>2</v>
      </c>
      <c r="J68" s="124">
        <v>0.55000000000000004</v>
      </c>
      <c r="K68" s="130"/>
      <c r="S68" s="98"/>
    </row>
    <row r="69" spans="1:19" x14ac:dyDescent="0.3">
      <c r="A69" s="123"/>
      <c r="B69" s="525"/>
      <c r="C69" s="525"/>
      <c r="D69" s="124"/>
      <c r="E69" s="136"/>
      <c r="F69" s="124"/>
      <c r="G69" s="136"/>
      <c r="H69" s="136"/>
      <c r="I69" s="124"/>
      <c r="J69" s="124"/>
      <c r="K69" s="130"/>
      <c r="S69" s="98"/>
    </row>
    <row r="70" spans="1:19" x14ac:dyDescent="0.3">
      <c r="A70" s="98"/>
      <c r="B70" s="12"/>
      <c r="C70" s="12"/>
      <c r="D70" s="12"/>
      <c r="E70" s="12"/>
      <c r="F70" s="12"/>
      <c r="G70" s="12"/>
      <c r="H70" s="12"/>
      <c r="I70" s="12"/>
      <c r="J70" s="12"/>
      <c r="K70" s="12"/>
      <c r="S70" s="98"/>
    </row>
    <row r="71" spans="1:19" x14ac:dyDescent="0.3">
      <c r="A71" s="98"/>
      <c r="B71" s="12"/>
      <c r="C71" s="12"/>
      <c r="D71" s="12"/>
      <c r="E71" s="12"/>
      <c r="F71" s="12"/>
      <c r="G71" s="12"/>
      <c r="H71" s="12"/>
      <c r="I71" s="12"/>
      <c r="J71" s="12"/>
      <c r="K71" s="12"/>
      <c r="S71" s="98"/>
    </row>
    <row r="72" spans="1:19" ht="16.2" thickBot="1" x14ac:dyDescent="0.35">
      <c r="A72" s="98"/>
      <c r="B72" s="12"/>
      <c r="C72" s="12"/>
      <c r="D72" s="12"/>
      <c r="E72" s="12"/>
      <c r="F72" s="12"/>
      <c r="G72" s="12"/>
      <c r="H72" s="12"/>
      <c r="I72" s="12"/>
      <c r="J72" s="12"/>
      <c r="K72" s="12"/>
      <c r="S72" s="98"/>
    </row>
    <row r="73" spans="1:19" ht="16.2" thickBot="1" x14ac:dyDescent="0.35">
      <c r="A73" s="98"/>
      <c r="E73" s="516" t="s">
        <v>277</v>
      </c>
      <c r="F73" s="517"/>
      <c r="N73" s="516" t="s">
        <v>286</v>
      </c>
      <c r="O73" s="517"/>
      <c r="S73" s="98"/>
    </row>
    <row r="74" spans="1:19" x14ac:dyDescent="0.3">
      <c r="A74" s="123"/>
      <c r="B74" s="150"/>
      <c r="C74" s="513" t="s">
        <v>370</v>
      </c>
      <c r="D74" s="513"/>
      <c r="E74" s="514"/>
      <c r="F74" s="514"/>
      <c r="G74" s="513"/>
      <c r="H74" s="513"/>
      <c r="I74" s="513"/>
      <c r="J74" s="513"/>
      <c r="L74" s="513" t="s">
        <v>279</v>
      </c>
      <c r="M74" s="513"/>
      <c r="N74" s="514"/>
      <c r="O74" s="514"/>
      <c r="P74" s="513"/>
      <c r="Q74" s="513"/>
      <c r="S74" s="98"/>
    </row>
    <row r="75" spans="1:19" ht="16.2" thickBot="1" x14ac:dyDescent="0.35">
      <c r="A75" s="123"/>
      <c r="B75" s="25" t="s">
        <v>267</v>
      </c>
      <c r="C75" s="25" t="s">
        <v>268</v>
      </c>
      <c r="D75" s="25" t="s">
        <v>269</v>
      </c>
      <c r="E75" s="133" t="s">
        <v>270</v>
      </c>
      <c r="F75" s="25" t="s">
        <v>271</v>
      </c>
      <c r="G75" s="25" t="s">
        <v>272</v>
      </c>
      <c r="H75" s="25" t="s">
        <v>273</v>
      </c>
      <c r="I75" s="25" t="s">
        <v>274</v>
      </c>
      <c r="J75" s="25" t="s">
        <v>275</v>
      </c>
      <c r="L75" s="512" t="s">
        <v>283</v>
      </c>
      <c r="M75" s="512"/>
      <c r="N75" s="511" t="s">
        <v>284</v>
      </c>
      <c r="O75" s="511"/>
      <c r="P75" s="512" t="s">
        <v>285</v>
      </c>
      <c r="Q75" s="512"/>
      <c r="S75" s="98"/>
    </row>
    <row r="76" spans="1:19" ht="16.2" thickBot="1" x14ac:dyDescent="0.35">
      <c r="A76" s="123"/>
      <c r="B76" s="25" t="s">
        <v>276</v>
      </c>
      <c r="C76" s="25">
        <v>115</v>
      </c>
      <c r="D76" s="96">
        <v>170</v>
      </c>
      <c r="E76" s="55">
        <v>200</v>
      </c>
      <c r="F76" s="189">
        <v>225</v>
      </c>
      <c r="G76" s="25">
        <v>280</v>
      </c>
      <c r="H76" s="25">
        <v>340</v>
      </c>
      <c r="I76" s="25">
        <v>390</v>
      </c>
      <c r="J76" s="25">
        <v>450</v>
      </c>
      <c r="L76" s="518" t="s">
        <v>175</v>
      </c>
      <c r="M76" s="519"/>
      <c r="N76" s="519">
        <v>2100</v>
      </c>
      <c r="O76" s="519"/>
      <c r="P76" s="519">
        <v>2100000</v>
      </c>
      <c r="Q76" s="585"/>
      <c r="S76" s="98"/>
    </row>
    <row r="77" spans="1:19" ht="16.2" thickBot="1" x14ac:dyDescent="0.35">
      <c r="A77" s="98"/>
      <c r="E77" s="127" t="s">
        <v>278</v>
      </c>
      <c r="F77" s="190">
        <v>200</v>
      </c>
      <c r="L77" s="560" t="s">
        <v>280</v>
      </c>
      <c r="M77" s="560"/>
      <c r="N77" s="560">
        <v>3000</v>
      </c>
      <c r="O77" s="560"/>
      <c r="P77" s="560">
        <v>2100000</v>
      </c>
      <c r="Q77" s="560"/>
      <c r="S77" s="98"/>
    </row>
    <row r="78" spans="1:19" ht="16.2" thickBot="1" x14ac:dyDescent="0.35">
      <c r="A78" s="98"/>
      <c r="L78" s="505" t="s">
        <v>281</v>
      </c>
      <c r="M78" s="505"/>
      <c r="N78" s="505">
        <v>4000</v>
      </c>
      <c r="O78" s="505"/>
      <c r="P78" s="512">
        <v>2100000</v>
      </c>
      <c r="Q78" s="505"/>
      <c r="S78" s="98"/>
    </row>
    <row r="79" spans="1:19" ht="16.2" thickBot="1" x14ac:dyDescent="0.35">
      <c r="A79" s="98"/>
      <c r="N79" s="128" t="s">
        <v>288</v>
      </c>
      <c r="O79" s="124">
        <v>4000</v>
      </c>
      <c r="P79" s="129" t="s">
        <v>287</v>
      </c>
      <c r="Q79" s="124">
        <v>2100000</v>
      </c>
      <c r="S79" s="98"/>
    </row>
    <row r="80" spans="1:19" x14ac:dyDescent="0.3">
      <c r="A80" s="98"/>
      <c r="S80" s="98"/>
    </row>
    <row r="81" spans="1:19" x14ac:dyDescent="0.3">
      <c r="A81" s="98"/>
      <c r="S81" s="98"/>
    </row>
    <row r="82" spans="1:19" x14ac:dyDescent="0.3">
      <c r="A82" s="98"/>
      <c r="S82" s="98"/>
    </row>
    <row r="83" spans="1:19" x14ac:dyDescent="0.3">
      <c r="A83" s="98"/>
      <c r="N83" s="490" t="s">
        <v>289</v>
      </c>
      <c r="O83" s="490"/>
      <c r="P83" s="490"/>
      <c r="Q83" s="490"/>
      <c r="R83" s="131" t="s">
        <v>282</v>
      </c>
      <c r="S83" s="114"/>
    </row>
    <row r="84" spans="1:19" x14ac:dyDescent="0.3">
      <c r="A84" s="98"/>
      <c r="I84" t="s">
        <v>380</v>
      </c>
      <c r="J84" s="497" t="s">
        <v>375</v>
      </c>
      <c r="K84" s="498"/>
      <c r="L84" s="196" t="s">
        <v>374</v>
      </c>
      <c r="M84" s="196">
        <f>(J89*P89*1.25+2*L89*H89+P89*F89)*10*2.5*1.2</f>
        <v>32.174999999999997</v>
      </c>
      <c r="S84" s="98"/>
    </row>
    <row r="85" spans="1:19" x14ac:dyDescent="0.3">
      <c r="A85" s="98"/>
      <c r="S85" s="98"/>
    </row>
    <row r="86" spans="1:19" x14ac:dyDescent="0.3">
      <c r="A86" s="98"/>
      <c r="O86" s="515" t="s">
        <v>290</v>
      </c>
      <c r="P86" s="515"/>
      <c r="S86" s="98"/>
    </row>
    <row r="87" spans="1:19" x14ac:dyDescent="0.3">
      <c r="A87" s="123"/>
      <c r="B87" s="191"/>
      <c r="C87" s="494" t="s">
        <v>304</v>
      </c>
      <c r="D87" s="494"/>
      <c r="E87" s="484" t="s">
        <v>296</v>
      </c>
      <c r="F87" s="485"/>
      <c r="G87" s="494" t="s">
        <v>295</v>
      </c>
      <c r="H87" s="494"/>
      <c r="I87" s="494" t="s">
        <v>294</v>
      </c>
      <c r="J87" s="494"/>
      <c r="K87" s="494" t="s">
        <v>293</v>
      </c>
      <c r="L87" s="494"/>
      <c r="M87" s="484" t="s">
        <v>292</v>
      </c>
      <c r="N87" s="485"/>
      <c r="O87" s="484" t="s">
        <v>389</v>
      </c>
      <c r="P87" s="485"/>
      <c r="Q87" s="77" t="s">
        <v>291</v>
      </c>
      <c r="R87" s="77"/>
      <c r="S87" s="114"/>
    </row>
    <row r="88" spans="1:19" x14ac:dyDescent="0.3">
      <c r="A88" s="98"/>
      <c r="B88" s="12"/>
      <c r="C88" s="505" t="s">
        <v>305</v>
      </c>
      <c r="D88" s="505"/>
      <c r="E88" s="484" t="s">
        <v>302</v>
      </c>
      <c r="F88" s="485"/>
      <c r="G88" s="484" t="s">
        <v>301</v>
      </c>
      <c r="H88" s="485"/>
      <c r="I88" s="484" t="s">
        <v>300</v>
      </c>
      <c r="J88" s="485"/>
      <c r="K88" s="484" t="s">
        <v>299</v>
      </c>
      <c r="L88" s="485"/>
      <c r="M88" s="484" t="s">
        <v>361</v>
      </c>
      <c r="N88" s="485"/>
      <c r="O88" s="484" t="s">
        <v>298</v>
      </c>
      <c r="P88" s="485"/>
      <c r="Q88" s="77" t="s">
        <v>297</v>
      </c>
      <c r="R88" s="77"/>
      <c r="S88" s="114"/>
    </row>
    <row r="89" spans="1:19" x14ac:dyDescent="0.3">
      <c r="A89" s="123"/>
      <c r="B89" s="124"/>
      <c r="C89" s="132"/>
      <c r="D89" s="124">
        <v>8.9999999999999993E-3</v>
      </c>
      <c r="E89" s="132"/>
      <c r="F89" s="124">
        <v>0.15</v>
      </c>
      <c r="G89" s="132"/>
      <c r="H89" s="124">
        <v>0.15</v>
      </c>
      <c r="I89" s="132"/>
      <c r="J89" s="124">
        <v>0.15</v>
      </c>
      <c r="K89" s="132"/>
      <c r="L89" s="124">
        <v>2.4500000000000002</v>
      </c>
      <c r="M89" s="136"/>
      <c r="N89" s="124">
        <v>3</v>
      </c>
      <c r="O89" s="136"/>
      <c r="P89" s="124">
        <v>1</v>
      </c>
      <c r="Q89" s="124">
        <v>6.3</v>
      </c>
      <c r="R89" s="124"/>
      <c r="S89" s="114"/>
    </row>
    <row r="90" spans="1:19" x14ac:dyDescent="0.3">
      <c r="A90" s="98"/>
      <c r="B90" s="223"/>
      <c r="C90" s="223"/>
      <c r="D90" s="223"/>
      <c r="E90" s="223"/>
      <c r="F90" s="223"/>
      <c r="G90" s="223"/>
      <c r="H90" s="223"/>
      <c r="I90" s="223"/>
      <c r="J90" s="223"/>
      <c r="K90" s="223"/>
      <c r="L90" s="223"/>
      <c r="M90" s="223"/>
      <c r="N90" s="223"/>
      <c r="O90" s="223"/>
      <c r="P90" s="223"/>
      <c r="Q90" s="223"/>
      <c r="R90" s="224" t="s">
        <v>402</v>
      </c>
      <c r="S90" s="98"/>
    </row>
    <row r="91" spans="1:19" x14ac:dyDescent="0.3">
      <c r="A91" s="98"/>
      <c r="B91" s="223"/>
      <c r="C91" s="223"/>
      <c r="D91" s="223"/>
      <c r="E91" s="223"/>
      <c r="F91" s="223"/>
      <c r="G91" s="223"/>
      <c r="H91" s="223"/>
      <c r="I91" s="223"/>
      <c r="J91" s="223"/>
      <c r="K91" s="223"/>
      <c r="L91" s="223"/>
      <c r="M91" s="223"/>
      <c r="N91" s="223"/>
      <c r="O91" s="223"/>
      <c r="P91" s="223"/>
      <c r="Q91" s="223"/>
      <c r="R91" s="224"/>
      <c r="S91" s="98"/>
    </row>
    <row r="92" spans="1:19" x14ac:dyDescent="0.3">
      <c r="A92" s="98"/>
      <c r="G92" s="381"/>
      <c r="H92" s="381"/>
      <c r="I92" s="381"/>
      <c r="N92" s="490" t="s">
        <v>383</v>
      </c>
      <c r="O92" s="490"/>
      <c r="P92" s="490"/>
      <c r="Q92" s="490"/>
      <c r="R92" s="490"/>
      <c r="S92" s="114"/>
    </row>
    <row r="93" spans="1:19" ht="17.399999999999999" x14ac:dyDescent="0.3">
      <c r="A93" s="98"/>
      <c r="E93" s="468" t="s">
        <v>458</v>
      </c>
      <c r="F93" s="469"/>
      <c r="G93" s="469"/>
      <c r="H93" s="469"/>
      <c r="I93" s="469"/>
      <c r="J93" s="470"/>
      <c r="M93" s="208"/>
      <c r="N93" s="474"/>
      <c r="O93" s="474"/>
      <c r="P93" s="209" t="s">
        <v>381</v>
      </c>
      <c r="Q93" s="209"/>
      <c r="R93" s="209" t="s">
        <v>382</v>
      </c>
      <c r="S93" s="114"/>
    </row>
    <row r="94" spans="1:19" x14ac:dyDescent="0.3">
      <c r="A94" s="98"/>
      <c r="E94" s="503" t="s">
        <v>459</v>
      </c>
      <c r="F94" s="504"/>
      <c r="G94" s="501">
        <v>9.5</v>
      </c>
      <c r="H94" s="502"/>
      <c r="I94" s="499" t="s">
        <v>34</v>
      </c>
      <c r="J94" s="500"/>
      <c r="N94" s="491"/>
      <c r="O94" s="491"/>
      <c r="P94" s="210">
        <v>2000</v>
      </c>
      <c r="Q94" s="210"/>
      <c r="R94" s="210">
        <v>2500</v>
      </c>
      <c r="S94" s="114"/>
    </row>
    <row r="95" spans="1:19" x14ac:dyDescent="0.3">
      <c r="A95" s="98"/>
      <c r="N95" s="492"/>
      <c r="O95" s="492"/>
      <c r="P95" s="78"/>
      <c r="Q95" s="78"/>
      <c r="R95" s="78"/>
      <c r="S95" s="114"/>
    </row>
    <row r="96" spans="1:19" x14ac:dyDescent="0.3">
      <c r="A96" s="98"/>
      <c r="B96" s="134"/>
      <c r="C96" s="134"/>
      <c r="D96" s="134"/>
      <c r="E96" s="134"/>
      <c r="F96" s="134"/>
      <c r="G96" s="134"/>
      <c r="H96" s="134"/>
      <c r="I96" s="134"/>
      <c r="J96" s="134"/>
      <c r="K96" s="134"/>
      <c r="L96" s="134"/>
      <c r="M96" s="134"/>
      <c r="N96" s="134"/>
      <c r="O96" s="134"/>
      <c r="P96" s="134"/>
      <c r="Q96" s="134"/>
      <c r="R96" s="134"/>
      <c r="S96" s="98"/>
    </row>
    <row r="97" spans="1:19" x14ac:dyDescent="0.3">
      <c r="A97" s="98"/>
      <c r="B97" s="48"/>
      <c r="C97" s="48"/>
      <c r="D97" s="48"/>
      <c r="E97" s="48"/>
      <c r="F97" s="48"/>
      <c r="G97" s="48"/>
      <c r="H97" s="48"/>
      <c r="I97" s="48"/>
      <c r="J97" s="48"/>
      <c r="K97" s="48"/>
      <c r="L97" s="48"/>
      <c r="M97" s="48"/>
      <c r="N97" s="48"/>
      <c r="O97" s="48"/>
      <c r="P97" s="48"/>
      <c r="Q97" s="138" t="s">
        <v>306</v>
      </c>
      <c r="R97" s="131" t="s">
        <v>303</v>
      </c>
      <c r="S97" s="114"/>
    </row>
    <row r="98" spans="1:19" x14ac:dyDescent="0.3">
      <c r="A98" s="98"/>
      <c r="S98" s="98"/>
    </row>
    <row r="99" spans="1:19" x14ac:dyDescent="0.3">
      <c r="A99" s="98"/>
      <c r="Q99" s="137" t="s">
        <v>312</v>
      </c>
      <c r="R99" s="131" t="s">
        <v>307</v>
      </c>
      <c r="S99" s="114"/>
    </row>
    <row r="100" spans="1:19" x14ac:dyDescent="0.3">
      <c r="A100" s="98"/>
      <c r="S100" s="98"/>
    </row>
    <row r="101" spans="1:19" x14ac:dyDescent="0.3">
      <c r="A101" s="98"/>
      <c r="E101" s="483" t="s">
        <v>308</v>
      </c>
      <c r="F101" s="483"/>
      <c r="S101" s="98"/>
    </row>
    <row r="102" spans="1:19" ht="16.2" thickBot="1" x14ac:dyDescent="0.35">
      <c r="A102" s="98"/>
      <c r="C102" s="506">
        <v>1</v>
      </c>
      <c r="D102" s="506"/>
      <c r="E102" s="194" t="s">
        <v>309</v>
      </c>
      <c r="F102" s="195" t="s">
        <v>310</v>
      </c>
      <c r="G102" s="140"/>
      <c r="H102" s="141" t="s">
        <v>311</v>
      </c>
      <c r="I102" s="139">
        <f>Sheet1!Q87</f>
        <v>0.23208428249584623</v>
      </c>
      <c r="J102" s="483" t="s">
        <v>153</v>
      </c>
      <c r="K102" s="483"/>
      <c r="S102" s="98"/>
    </row>
    <row r="103" spans="1:19" ht="16.2" thickBot="1" x14ac:dyDescent="0.35">
      <c r="A103" s="98"/>
      <c r="C103" s="507" t="s">
        <v>235</v>
      </c>
      <c r="D103" s="508"/>
      <c r="E103" s="176" t="s">
        <v>328</v>
      </c>
      <c r="F103" s="177">
        <v>0.35</v>
      </c>
      <c r="G103" s="193"/>
      <c r="S103" s="98"/>
    </row>
    <row r="104" spans="1:19" ht="16.2" thickBot="1" x14ac:dyDescent="0.35">
      <c r="A104" s="98"/>
      <c r="C104" s="509" t="s">
        <v>240</v>
      </c>
      <c r="D104" s="509"/>
      <c r="E104" s="178" t="s">
        <v>329</v>
      </c>
      <c r="F104" s="178">
        <v>0.5</v>
      </c>
      <c r="G104" s="326"/>
      <c r="H104" s="258"/>
      <c r="I104" s="39"/>
      <c r="J104" s="39"/>
      <c r="K104" s="39"/>
      <c r="S104" s="98"/>
    </row>
    <row r="105" spans="1:19" ht="16.2" thickBot="1" x14ac:dyDescent="0.35">
      <c r="A105" s="98"/>
      <c r="C105" s="507" t="s">
        <v>237</v>
      </c>
      <c r="D105" s="508"/>
      <c r="E105" s="176" t="s">
        <v>330</v>
      </c>
      <c r="F105" s="177">
        <v>0.55000000000000004</v>
      </c>
      <c r="G105" s="193"/>
      <c r="S105" s="98"/>
    </row>
    <row r="106" spans="1:19" x14ac:dyDescent="0.3">
      <c r="A106" s="98"/>
      <c r="C106" s="510" t="s">
        <v>221</v>
      </c>
      <c r="D106" s="510"/>
      <c r="E106" s="106" t="s">
        <v>331</v>
      </c>
      <c r="F106" s="106">
        <v>0.65</v>
      </c>
      <c r="G106" s="140"/>
      <c r="S106" s="98"/>
    </row>
    <row r="107" spans="1:19" x14ac:dyDescent="0.3">
      <c r="A107" s="98"/>
      <c r="C107" s="484" t="s">
        <v>466</v>
      </c>
      <c r="D107" s="485"/>
      <c r="E107" s="335" t="s">
        <v>467</v>
      </c>
      <c r="F107" s="25">
        <v>0.75</v>
      </c>
      <c r="G107" s="140"/>
      <c r="S107" s="98"/>
    </row>
    <row r="108" spans="1:19" x14ac:dyDescent="0.3">
      <c r="A108" s="98"/>
      <c r="C108" s="140"/>
      <c r="D108" s="140"/>
      <c r="E108" s="140"/>
      <c r="F108" s="140"/>
      <c r="G108" s="140"/>
      <c r="S108" s="98"/>
    </row>
    <row r="109" spans="1:19" x14ac:dyDescent="0.3">
      <c r="A109" s="98"/>
      <c r="D109" s="173" t="s">
        <v>153</v>
      </c>
      <c r="E109" s="327" t="s">
        <v>313</v>
      </c>
      <c r="F109" s="173">
        <v>0.55000000000000004</v>
      </c>
      <c r="S109" s="98"/>
    </row>
    <row r="110" spans="1:19" x14ac:dyDescent="0.3">
      <c r="A110" s="98"/>
      <c r="D110" s="473"/>
      <c r="E110" s="473"/>
      <c r="F110" s="473"/>
      <c r="G110" s="473"/>
      <c r="S110" s="98"/>
    </row>
    <row r="111" spans="1:19" x14ac:dyDescent="0.3">
      <c r="A111" s="98"/>
      <c r="B111" s="51"/>
      <c r="C111" s="51"/>
      <c r="D111" s="51"/>
      <c r="E111" s="51"/>
      <c r="F111" s="51"/>
      <c r="G111" s="51"/>
      <c r="H111" s="51"/>
      <c r="I111" s="51"/>
      <c r="J111" s="51"/>
      <c r="K111" s="51"/>
      <c r="L111" s="51"/>
      <c r="M111" s="51"/>
      <c r="N111" s="51"/>
      <c r="O111" s="51"/>
      <c r="P111" s="51"/>
      <c r="Q111" s="51"/>
      <c r="R111" s="51"/>
      <c r="S111" s="98"/>
    </row>
    <row r="112" spans="1:19" x14ac:dyDescent="0.3">
      <c r="A112" s="123"/>
      <c r="B112" s="143" t="s">
        <v>153</v>
      </c>
      <c r="C112" s="142" t="s">
        <v>311</v>
      </c>
      <c r="D112" s="143">
        <f>I102</f>
        <v>0.23208428249584623</v>
      </c>
      <c r="Q112" s="39" t="s">
        <v>316</v>
      </c>
      <c r="R112" s="131" t="s">
        <v>314</v>
      </c>
      <c r="S112" s="114"/>
    </row>
    <row r="113" spans="1:19" x14ac:dyDescent="0.3">
      <c r="A113" s="123"/>
      <c r="B113" s="143"/>
      <c r="C113" s="142"/>
      <c r="D113" s="143"/>
      <c r="I113" s="143" t="s">
        <v>153</v>
      </c>
      <c r="J113" s="142" t="s">
        <v>311</v>
      </c>
      <c r="K113" s="143">
        <f>I102</f>
        <v>0.23208428249584623</v>
      </c>
      <c r="S113" s="98"/>
    </row>
    <row r="114" spans="1:19" x14ac:dyDescent="0.3">
      <c r="A114" s="123"/>
      <c r="B114" s="25" t="s">
        <v>317</v>
      </c>
      <c r="C114" s="25" t="s">
        <v>318</v>
      </c>
      <c r="D114" s="25" t="s">
        <v>320</v>
      </c>
      <c r="E114" s="25" t="s">
        <v>321</v>
      </c>
      <c r="I114" s="143"/>
      <c r="J114" s="142"/>
      <c r="K114" s="143"/>
      <c r="S114" s="98"/>
    </row>
    <row r="115" spans="1:19" x14ac:dyDescent="0.3">
      <c r="A115" s="123"/>
      <c r="B115" s="25" t="s">
        <v>319</v>
      </c>
      <c r="C115" s="25">
        <v>1</v>
      </c>
      <c r="D115" s="25" t="s">
        <v>322</v>
      </c>
      <c r="E115" s="25" t="s">
        <v>323</v>
      </c>
      <c r="I115" s="493" t="s">
        <v>234</v>
      </c>
      <c r="J115" s="493"/>
      <c r="K115" s="495" t="s">
        <v>326</v>
      </c>
      <c r="L115" s="495"/>
      <c r="M115" s="495"/>
      <c r="N115" s="493" t="s">
        <v>325</v>
      </c>
      <c r="S115" s="98"/>
    </row>
    <row r="116" spans="1:19" x14ac:dyDescent="0.3">
      <c r="A116" s="123"/>
      <c r="B116" s="327" t="s">
        <v>324</v>
      </c>
      <c r="C116" s="173">
        <v>1</v>
      </c>
      <c r="D116" s="173" t="s">
        <v>153</v>
      </c>
      <c r="I116" s="493"/>
      <c r="J116" s="493"/>
      <c r="K116" s="151" t="s">
        <v>318</v>
      </c>
      <c r="L116" s="151" t="s">
        <v>320</v>
      </c>
      <c r="M116" s="151" t="s">
        <v>327</v>
      </c>
      <c r="N116" s="493"/>
      <c r="S116" s="98"/>
    </row>
    <row r="117" spans="1:19" x14ac:dyDescent="0.3">
      <c r="A117" s="123"/>
      <c r="B117" s="473"/>
      <c r="C117" s="473"/>
      <c r="D117" s="473"/>
      <c r="I117" s="494" t="s">
        <v>235</v>
      </c>
      <c r="J117" s="494"/>
      <c r="K117" s="145">
        <v>2.5000000000000001E-2</v>
      </c>
      <c r="L117" s="145">
        <v>0.03</v>
      </c>
      <c r="M117" s="145">
        <v>0.04</v>
      </c>
      <c r="N117" s="145">
        <v>1.4999999999999999E-2</v>
      </c>
      <c r="S117" s="98"/>
    </row>
    <row r="118" spans="1:19" x14ac:dyDescent="0.3">
      <c r="A118" s="98"/>
      <c r="I118" s="494" t="s">
        <v>240</v>
      </c>
      <c r="J118" s="494"/>
      <c r="K118" s="145">
        <v>0.01</v>
      </c>
      <c r="L118" s="145">
        <v>1.4E-2</v>
      </c>
      <c r="M118" s="145">
        <v>1.7999999999999999E-2</v>
      </c>
      <c r="N118" s="145">
        <v>8.5000000000000006E-3</v>
      </c>
      <c r="S118" s="98"/>
    </row>
    <row r="119" spans="1:19" x14ac:dyDescent="0.3">
      <c r="A119" s="98"/>
      <c r="I119" s="494" t="s">
        <v>237</v>
      </c>
      <c r="J119" s="494"/>
      <c r="K119" s="145">
        <v>6.0000000000000001E-3</v>
      </c>
      <c r="L119" s="145">
        <v>8.0000000000000002E-3</v>
      </c>
      <c r="M119" s="145">
        <v>0.01</v>
      </c>
      <c r="N119" s="145">
        <v>1E-3</v>
      </c>
      <c r="S119" s="98"/>
    </row>
    <row r="120" spans="1:19" x14ac:dyDescent="0.3">
      <c r="A120" s="98"/>
      <c r="I120" s="494" t="s">
        <v>221</v>
      </c>
      <c r="J120" s="494"/>
      <c r="K120" s="145">
        <v>3.0000000000000001E-3</v>
      </c>
      <c r="L120" s="145">
        <v>5.0000000000000001E-3</v>
      </c>
      <c r="M120" s="145">
        <v>6.0000000000000001E-3</v>
      </c>
      <c r="N120" s="145">
        <v>8.0000000000000002E-3</v>
      </c>
      <c r="S120" s="98"/>
    </row>
    <row r="121" spans="1:19" x14ac:dyDescent="0.3">
      <c r="A121" s="98"/>
      <c r="H121" s="327" t="s">
        <v>332</v>
      </c>
      <c r="I121" s="173">
        <v>1E-3</v>
      </c>
      <c r="J121" s="173" t="s">
        <v>153</v>
      </c>
      <c r="K121" s="35"/>
      <c r="L121" s="327" t="s">
        <v>333</v>
      </c>
      <c r="M121" s="173">
        <v>6.0000000000000001E-3</v>
      </c>
      <c r="N121" s="173" t="s">
        <v>153</v>
      </c>
      <c r="S121" s="98"/>
    </row>
    <row r="122" spans="1:19" x14ac:dyDescent="0.3">
      <c r="A122" s="98"/>
      <c r="S122" s="98"/>
    </row>
    <row r="123" spans="1:19" x14ac:dyDescent="0.3">
      <c r="A123" s="98"/>
      <c r="S123" s="98"/>
    </row>
    <row r="124" spans="1:19" x14ac:dyDescent="0.3">
      <c r="A124" s="98"/>
      <c r="B124" s="50"/>
      <c r="C124" s="50"/>
      <c r="D124" s="50"/>
      <c r="E124" s="50"/>
      <c r="F124" s="50"/>
      <c r="G124" s="50"/>
      <c r="H124" s="50"/>
      <c r="I124" s="50"/>
      <c r="J124" s="50"/>
      <c r="K124" s="50"/>
      <c r="L124" s="50"/>
      <c r="M124" s="50"/>
      <c r="N124" s="50"/>
      <c r="O124" s="50"/>
      <c r="P124" s="50"/>
      <c r="Q124" s="50"/>
      <c r="R124" s="50"/>
      <c r="S124" s="98"/>
    </row>
    <row r="125" spans="1:19" ht="17.399999999999999" x14ac:dyDescent="0.3">
      <c r="A125" s="98"/>
      <c r="Q125" s="37" t="s">
        <v>362</v>
      </c>
      <c r="R125" s="146" t="s">
        <v>334</v>
      </c>
      <c r="S125" s="98"/>
    </row>
    <row r="126" spans="1:19" x14ac:dyDescent="0.3">
      <c r="A126" s="98"/>
      <c r="Q126" s="137" t="s">
        <v>335</v>
      </c>
      <c r="S126" s="98"/>
    </row>
    <row r="127" spans="1:19" x14ac:dyDescent="0.3">
      <c r="A127" s="98"/>
      <c r="S127" s="98"/>
    </row>
    <row r="128" spans="1:19" ht="17.399999999999999" x14ac:dyDescent="0.3">
      <c r="A128" s="98"/>
      <c r="I128" s="483" t="s">
        <v>363</v>
      </c>
      <c r="J128" s="483"/>
      <c r="K128" s="225">
        <f>F68</f>
        <v>600</v>
      </c>
      <c r="L128" t="s">
        <v>88</v>
      </c>
      <c r="S128" s="98"/>
    </row>
    <row r="129" spans="1:19" x14ac:dyDescent="0.3">
      <c r="A129" s="98"/>
      <c r="I129" s="483" t="s">
        <v>336</v>
      </c>
      <c r="J129" s="483"/>
      <c r="K129" s="225">
        <f>Sheet1!O141</f>
        <v>9.5</v>
      </c>
      <c r="L129" t="s">
        <v>34</v>
      </c>
      <c r="S129" s="98"/>
    </row>
    <row r="130" spans="1:19" x14ac:dyDescent="0.3">
      <c r="A130" s="98"/>
      <c r="I130" s="39"/>
      <c r="J130" s="39"/>
      <c r="K130" s="226"/>
      <c r="S130" s="98"/>
    </row>
    <row r="131" spans="1:19" x14ac:dyDescent="0.3">
      <c r="A131" s="98"/>
      <c r="I131" s="473"/>
      <c r="J131" s="473"/>
      <c r="K131" s="226"/>
      <c r="S131" s="98"/>
    </row>
    <row r="132" spans="1:19" x14ac:dyDescent="0.3">
      <c r="A132" s="98"/>
      <c r="I132" s="473"/>
      <c r="J132" s="473"/>
      <c r="K132" s="226"/>
      <c r="S132" s="98"/>
    </row>
    <row r="133" spans="1:19" x14ac:dyDescent="0.3">
      <c r="A133" s="98"/>
      <c r="S133" s="98"/>
    </row>
    <row r="134" spans="1:19" x14ac:dyDescent="0.3">
      <c r="A134" s="98"/>
      <c r="S134" s="98"/>
    </row>
    <row r="135" spans="1:19" ht="18" thickBot="1" x14ac:dyDescent="0.35">
      <c r="A135" s="98"/>
      <c r="I135" s="482" t="s">
        <v>364</v>
      </c>
      <c r="J135" s="482"/>
      <c r="K135" s="124">
        <v>680</v>
      </c>
      <c r="L135" t="s">
        <v>88</v>
      </c>
      <c r="S135" s="99"/>
    </row>
    <row r="136" spans="1:19" x14ac:dyDescent="0.3">
      <c r="A136" s="98"/>
      <c r="I136" s="39"/>
      <c r="J136" s="39"/>
      <c r="K136" s="12"/>
      <c r="S136" s="97"/>
    </row>
    <row r="137" spans="1:19" x14ac:dyDescent="0.3">
      <c r="A137" s="98"/>
      <c r="I137" s="473"/>
      <c r="J137" s="473"/>
      <c r="K137" s="12"/>
      <c r="S137" s="98"/>
    </row>
    <row r="138" spans="1:19" x14ac:dyDescent="0.3">
      <c r="A138" s="98"/>
      <c r="S138" s="98"/>
    </row>
    <row r="139" spans="1:19" x14ac:dyDescent="0.3">
      <c r="A139" s="98"/>
      <c r="S139" s="98"/>
    </row>
    <row r="140" spans="1:19" x14ac:dyDescent="0.3">
      <c r="A140" s="98"/>
      <c r="S140" s="98"/>
    </row>
    <row r="141" spans="1:19" x14ac:dyDescent="0.3">
      <c r="A141" s="98"/>
      <c r="S141" s="98"/>
    </row>
    <row r="142" spans="1:19" x14ac:dyDescent="0.3">
      <c r="A142" s="98"/>
      <c r="S142" s="98"/>
    </row>
    <row r="143" spans="1:19" x14ac:dyDescent="0.3">
      <c r="A143" s="98"/>
      <c r="S143" s="98"/>
    </row>
    <row r="144" spans="1:19" x14ac:dyDescent="0.3">
      <c r="A144" s="98"/>
      <c r="S144" s="98"/>
    </row>
    <row r="145" spans="1:19" x14ac:dyDescent="0.3">
      <c r="A145" s="98"/>
      <c r="S145" s="98"/>
    </row>
    <row r="146" spans="1:19" x14ac:dyDescent="0.3">
      <c r="A146" s="98"/>
      <c r="S146" s="98"/>
    </row>
    <row r="147" spans="1:19" x14ac:dyDescent="0.3">
      <c r="A147" s="98"/>
      <c r="S147" s="98"/>
    </row>
    <row r="148" spans="1:19" x14ac:dyDescent="0.3">
      <c r="A148" s="98"/>
      <c r="S148" s="98"/>
    </row>
    <row r="149" spans="1:19" x14ac:dyDescent="0.3">
      <c r="A149" s="98"/>
      <c r="S149" s="98"/>
    </row>
    <row r="150" spans="1:19" x14ac:dyDescent="0.3">
      <c r="A150" s="98"/>
      <c r="S150" s="98"/>
    </row>
    <row r="151" spans="1:19" x14ac:dyDescent="0.3">
      <c r="A151" s="98"/>
      <c r="S151" s="98"/>
    </row>
    <row r="152" spans="1:19" ht="16.2" thickBot="1" x14ac:dyDescent="0.35">
      <c r="A152" s="98"/>
      <c r="S152" s="98"/>
    </row>
    <row r="153" spans="1:19" ht="16.2" thickBot="1" x14ac:dyDescent="0.35">
      <c r="A153" s="45"/>
      <c r="S153" s="98"/>
    </row>
    <row r="154" spans="1:19" x14ac:dyDescent="0.3">
      <c r="A154" s="98"/>
      <c r="S154" s="98"/>
    </row>
    <row r="155" spans="1:19" x14ac:dyDescent="0.3">
      <c r="A155" s="98"/>
      <c r="S155" s="98"/>
    </row>
    <row r="156" spans="1:19" ht="17.399999999999999" x14ac:dyDescent="0.3">
      <c r="A156" s="98"/>
      <c r="I156" s="483" t="s">
        <v>365</v>
      </c>
      <c r="J156" s="483"/>
      <c r="K156" s="139">
        <f>Sheet1!J8</f>
        <v>300</v>
      </c>
      <c r="L156" t="s">
        <v>88</v>
      </c>
      <c r="S156" s="98"/>
    </row>
    <row r="157" spans="1:19" x14ac:dyDescent="0.3">
      <c r="A157" s="98"/>
      <c r="I157" s="483" t="s">
        <v>336</v>
      </c>
      <c r="J157" s="483"/>
      <c r="K157" s="139">
        <f>K129</f>
        <v>9.5</v>
      </c>
      <c r="L157" t="s">
        <v>34</v>
      </c>
      <c r="S157" s="98"/>
    </row>
    <row r="158" spans="1:19" x14ac:dyDescent="0.3">
      <c r="A158" s="98"/>
      <c r="I158" s="39"/>
      <c r="J158" s="39"/>
      <c r="S158" s="98"/>
    </row>
    <row r="159" spans="1:19" x14ac:dyDescent="0.3">
      <c r="A159" s="98"/>
      <c r="I159" s="473"/>
      <c r="J159" s="473"/>
      <c r="K159" s="12"/>
      <c r="S159" s="98"/>
    </row>
    <row r="160" spans="1:19" x14ac:dyDescent="0.3">
      <c r="A160" s="98"/>
      <c r="I160" s="473"/>
      <c r="J160" s="473"/>
      <c r="K160" s="12"/>
      <c r="S160" s="98"/>
    </row>
    <row r="161" spans="1:19" x14ac:dyDescent="0.3">
      <c r="A161" s="98"/>
      <c r="K161" s="12"/>
      <c r="S161" s="98"/>
    </row>
    <row r="162" spans="1:19" x14ac:dyDescent="0.3">
      <c r="A162" s="98"/>
      <c r="K162" s="12"/>
      <c r="S162" s="98"/>
    </row>
    <row r="163" spans="1:19" ht="17.399999999999999" x14ac:dyDescent="0.3">
      <c r="A163" s="98"/>
      <c r="I163" s="482" t="s">
        <v>366</v>
      </c>
      <c r="J163" s="482"/>
      <c r="K163" s="124">
        <v>350</v>
      </c>
      <c r="L163" t="s">
        <v>88</v>
      </c>
      <c r="S163" s="98"/>
    </row>
    <row r="164" spans="1:19" x14ac:dyDescent="0.3">
      <c r="A164" s="98"/>
      <c r="I164" s="39"/>
      <c r="J164" s="39"/>
      <c r="K164" s="12"/>
      <c r="S164" s="98"/>
    </row>
    <row r="165" spans="1:19" x14ac:dyDescent="0.3">
      <c r="A165" s="98"/>
      <c r="I165" s="473"/>
      <c r="J165" s="473"/>
      <c r="K165" s="12"/>
      <c r="S165" s="98"/>
    </row>
    <row r="166" spans="1:19" x14ac:dyDescent="0.3">
      <c r="A166" s="98"/>
      <c r="S166" s="98"/>
    </row>
    <row r="167" spans="1:19" x14ac:dyDescent="0.3">
      <c r="A167" s="98"/>
      <c r="S167" s="98"/>
    </row>
    <row r="168" spans="1:19" x14ac:dyDescent="0.3">
      <c r="A168" s="98"/>
      <c r="S168" s="98"/>
    </row>
    <row r="169" spans="1:19" x14ac:dyDescent="0.3">
      <c r="A169" s="98"/>
      <c r="S169" s="98"/>
    </row>
    <row r="170" spans="1:19" x14ac:dyDescent="0.3">
      <c r="A170" s="98"/>
      <c r="S170" s="98"/>
    </row>
    <row r="171" spans="1:19" x14ac:dyDescent="0.3">
      <c r="A171" s="98"/>
      <c r="S171" s="98"/>
    </row>
    <row r="172" spans="1:19" x14ac:dyDescent="0.3">
      <c r="A172" s="98"/>
      <c r="S172" s="98"/>
    </row>
    <row r="173" spans="1:19" x14ac:dyDescent="0.3">
      <c r="A173" s="98"/>
      <c r="S173" s="98"/>
    </row>
    <row r="174" spans="1:19" x14ac:dyDescent="0.3">
      <c r="A174" s="98"/>
      <c r="S174" s="98"/>
    </row>
    <row r="175" spans="1:19" x14ac:dyDescent="0.3">
      <c r="A175" s="98"/>
      <c r="S175" s="98"/>
    </row>
    <row r="176" spans="1:19" x14ac:dyDescent="0.3">
      <c r="A176" s="98"/>
      <c r="S176" s="98"/>
    </row>
    <row r="177" spans="1:19" x14ac:dyDescent="0.3">
      <c r="A177" s="98"/>
      <c r="S177" s="98"/>
    </row>
    <row r="178" spans="1:19" x14ac:dyDescent="0.3">
      <c r="A178" s="98"/>
      <c r="S178" s="98"/>
    </row>
    <row r="179" spans="1:19" x14ac:dyDescent="0.3">
      <c r="A179" s="98"/>
      <c r="S179" s="98"/>
    </row>
    <row r="180" spans="1:19" x14ac:dyDescent="0.3">
      <c r="A180" s="98"/>
      <c r="S180" s="98"/>
    </row>
    <row r="181" spans="1:19" x14ac:dyDescent="0.3">
      <c r="A181" s="98"/>
      <c r="S181" s="98"/>
    </row>
    <row r="182" spans="1:19" x14ac:dyDescent="0.3">
      <c r="A182" s="98"/>
      <c r="S182" s="98"/>
    </row>
    <row r="183" spans="1:19" x14ac:dyDescent="0.3">
      <c r="A183" s="98"/>
      <c r="B183" s="50"/>
      <c r="C183" s="50"/>
      <c r="D183" s="50"/>
      <c r="E183" s="50"/>
      <c r="F183" s="50"/>
      <c r="G183" s="50"/>
      <c r="H183" s="50"/>
      <c r="I183" s="50"/>
      <c r="J183" s="50"/>
      <c r="K183" s="50"/>
      <c r="L183" s="50"/>
      <c r="M183" s="50"/>
      <c r="N183" s="50"/>
      <c r="O183" s="50"/>
      <c r="P183" s="50"/>
      <c r="Q183" s="50"/>
      <c r="R183" s="50"/>
      <c r="S183" s="98"/>
    </row>
    <row r="184" spans="1:19" x14ac:dyDescent="0.3">
      <c r="A184" s="98"/>
      <c r="Q184" s="137" t="s">
        <v>367</v>
      </c>
      <c r="R184" s="131" t="s">
        <v>337</v>
      </c>
      <c r="S184" s="114"/>
    </row>
    <row r="185" spans="1:19" x14ac:dyDescent="0.3">
      <c r="A185" s="98"/>
      <c r="Q185" s="39" t="s">
        <v>338</v>
      </c>
      <c r="S185" s="98"/>
    </row>
    <row r="186" spans="1:19" x14ac:dyDescent="0.3">
      <c r="A186" s="98"/>
      <c r="S186" s="98"/>
    </row>
    <row r="187" spans="1:19" x14ac:dyDescent="0.3">
      <c r="A187" s="123"/>
      <c r="B187" s="486" t="s">
        <v>215</v>
      </c>
      <c r="C187" s="487"/>
      <c r="D187" s="479" t="s">
        <v>339</v>
      </c>
      <c r="E187" s="480"/>
      <c r="F187" s="480"/>
      <c r="G187" s="480"/>
      <c r="H187" s="481"/>
      <c r="I187" s="329" t="s">
        <v>346</v>
      </c>
      <c r="J187" s="330" t="s">
        <v>347</v>
      </c>
      <c r="K187" s="331">
        <f>K157</f>
        <v>9.5</v>
      </c>
      <c r="S187" s="98"/>
    </row>
    <row r="188" spans="1:19" x14ac:dyDescent="0.3">
      <c r="A188" s="123"/>
      <c r="B188" s="488"/>
      <c r="C188" s="489"/>
      <c r="D188" s="152" t="s">
        <v>340</v>
      </c>
      <c r="E188" s="152" t="s">
        <v>341</v>
      </c>
      <c r="F188" s="153" t="s">
        <v>343</v>
      </c>
      <c r="G188" s="154" t="s">
        <v>342</v>
      </c>
      <c r="H188" s="328"/>
      <c r="I188" s="39"/>
      <c r="J188" s="258"/>
      <c r="K188" s="39"/>
      <c r="S188" s="98"/>
    </row>
    <row r="189" spans="1:19" x14ac:dyDescent="0.3">
      <c r="A189" s="123"/>
      <c r="B189" s="475" t="s">
        <v>344</v>
      </c>
      <c r="C189" s="476"/>
      <c r="D189" s="144">
        <v>1.35</v>
      </c>
      <c r="E189" s="144">
        <v>1.3</v>
      </c>
      <c r="F189" s="144">
        <v>1.25</v>
      </c>
      <c r="G189" s="144">
        <v>1.2</v>
      </c>
      <c r="H189" s="147"/>
      <c r="S189" s="98"/>
    </row>
    <row r="190" spans="1:19" x14ac:dyDescent="0.3">
      <c r="A190" s="123"/>
      <c r="B190" s="477" t="s">
        <v>281</v>
      </c>
      <c r="C190" s="478"/>
      <c r="D190" s="144">
        <v>1.25</v>
      </c>
      <c r="E190" s="144">
        <v>1.2</v>
      </c>
      <c r="F190" s="144">
        <v>1.18</v>
      </c>
      <c r="G190" s="144">
        <v>1.1499999999999999</v>
      </c>
      <c r="H190" s="147"/>
      <c r="S190" s="98"/>
    </row>
    <row r="191" spans="1:19" x14ac:dyDescent="0.3">
      <c r="A191" s="123"/>
      <c r="B191" s="477" t="s">
        <v>345</v>
      </c>
      <c r="C191" s="478"/>
      <c r="D191" s="144">
        <v>1.25</v>
      </c>
      <c r="E191" s="144">
        <v>1.2</v>
      </c>
      <c r="F191" s="144">
        <v>1.18</v>
      </c>
      <c r="G191" s="144">
        <v>1.1499999999999999</v>
      </c>
      <c r="H191" s="147"/>
      <c r="S191" s="98"/>
    </row>
    <row r="192" spans="1:19" x14ac:dyDescent="0.3">
      <c r="A192" s="98"/>
      <c r="C192" s="135" t="s">
        <v>348</v>
      </c>
      <c r="D192" s="104" t="s">
        <v>350</v>
      </c>
      <c r="E192" s="124">
        <v>1.18</v>
      </c>
      <c r="S192" s="98"/>
    </row>
    <row r="193" spans="1:19" x14ac:dyDescent="0.3">
      <c r="A193" s="98"/>
      <c r="C193" s="135"/>
      <c r="D193" s="104"/>
      <c r="E193" s="124"/>
      <c r="S193" s="98"/>
    </row>
    <row r="194" spans="1:19" x14ac:dyDescent="0.3">
      <c r="A194" s="98"/>
      <c r="C194" s="135" t="s">
        <v>349</v>
      </c>
      <c r="D194" s="104" t="s">
        <v>350</v>
      </c>
      <c r="E194" s="124">
        <v>1.18</v>
      </c>
      <c r="S194" s="98"/>
    </row>
    <row r="195" spans="1:19" x14ac:dyDescent="0.3">
      <c r="A195" s="98"/>
      <c r="C195" s="135"/>
      <c r="D195" s="104"/>
      <c r="E195" s="124"/>
      <c r="S195" s="98"/>
    </row>
    <row r="196" spans="1:19" x14ac:dyDescent="0.3">
      <c r="A196" s="98"/>
      <c r="S196" s="98"/>
    </row>
    <row r="197" spans="1:19" x14ac:dyDescent="0.3">
      <c r="A197" s="98"/>
      <c r="B197" s="60"/>
      <c r="C197" s="60"/>
      <c r="D197" s="60"/>
      <c r="E197" s="60"/>
      <c r="F197" s="60"/>
      <c r="G197" s="60"/>
      <c r="H197" s="60"/>
      <c r="I197" s="60"/>
      <c r="J197" s="60"/>
      <c r="K197" s="60"/>
      <c r="L197" s="60"/>
      <c r="M197" s="60"/>
      <c r="N197" s="60"/>
      <c r="O197" s="60"/>
      <c r="P197" s="60"/>
      <c r="Q197" s="60"/>
      <c r="R197" s="60"/>
      <c r="S197" s="98"/>
    </row>
    <row r="198" spans="1:19" x14ac:dyDescent="0.3">
      <c r="A198" s="98"/>
      <c r="Q198" s="39" t="s">
        <v>354</v>
      </c>
      <c r="R198" s="131" t="s">
        <v>351</v>
      </c>
      <c r="S198" s="114"/>
    </row>
    <row r="199" spans="1:19" x14ac:dyDescent="0.3">
      <c r="A199" s="98"/>
      <c r="S199" s="98"/>
    </row>
    <row r="200" spans="1:19" x14ac:dyDescent="0.3">
      <c r="A200" s="98"/>
      <c r="D200" t="s">
        <v>61</v>
      </c>
      <c r="S200" s="98"/>
    </row>
    <row r="201" spans="1:19" x14ac:dyDescent="0.3">
      <c r="A201" s="98"/>
      <c r="S201" s="98"/>
    </row>
    <row r="202" spans="1:19" x14ac:dyDescent="0.3">
      <c r="A202" s="98"/>
      <c r="S202" s="98"/>
    </row>
    <row r="203" spans="1:19" x14ac:dyDescent="0.3">
      <c r="A203" s="98"/>
      <c r="J203" s="329" t="s">
        <v>153</v>
      </c>
      <c r="K203" s="330" t="s">
        <v>352</v>
      </c>
      <c r="L203" s="330">
        <f>Sheet1!Q183</f>
        <v>1.48630915026146</v>
      </c>
      <c r="S203" s="98"/>
    </row>
    <row r="204" spans="1:19" x14ac:dyDescent="0.3">
      <c r="A204" s="98"/>
      <c r="J204" s="39"/>
      <c r="K204" s="258"/>
      <c r="S204" s="98"/>
    </row>
    <row r="205" spans="1:19" x14ac:dyDescent="0.3">
      <c r="A205" s="98"/>
      <c r="S205" s="98"/>
    </row>
    <row r="206" spans="1:19" x14ac:dyDescent="0.3">
      <c r="A206" s="98"/>
      <c r="S206" s="98"/>
    </row>
    <row r="207" spans="1:19" x14ac:dyDescent="0.3">
      <c r="A207" s="98"/>
      <c r="S207" s="98"/>
    </row>
    <row r="208" spans="1:19" x14ac:dyDescent="0.3">
      <c r="A208" s="98"/>
      <c r="J208" s="332" t="s">
        <v>153</v>
      </c>
      <c r="K208" s="333" t="s">
        <v>353</v>
      </c>
      <c r="L208" s="173">
        <v>0.86</v>
      </c>
      <c r="S208" s="98"/>
    </row>
    <row r="209" spans="1:19" x14ac:dyDescent="0.3">
      <c r="A209" s="98"/>
      <c r="J209" s="39"/>
      <c r="K209" s="3"/>
      <c r="L209" s="12"/>
      <c r="S209" s="98"/>
    </row>
    <row r="210" spans="1:19" x14ac:dyDescent="0.3">
      <c r="A210" s="98"/>
      <c r="S210" s="98"/>
    </row>
    <row r="211" spans="1:19" x14ac:dyDescent="0.3">
      <c r="A211" s="98"/>
      <c r="S211" s="98"/>
    </row>
    <row r="212" spans="1:19" x14ac:dyDescent="0.3">
      <c r="A212" s="98"/>
      <c r="S212" s="98"/>
    </row>
    <row r="213" spans="1:19" x14ac:dyDescent="0.3">
      <c r="A213" s="98"/>
      <c r="S213" s="98"/>
    </row>
    <row r="214" spans="1:19" x14ac:dyDescent="0.3">
      <c r="A214" s="98"/>
      <c r="S214" s="98"/>
    </row>
    <row r="215" spans="1:19" x14ac:dyDescent="0.3">
      <c r="A215" s="98"/>
      <c r="S215" s="98"/>
    </row>
    <row r="216" spans="1:19" x14ac:dyDescent="0.3">
      <c r="A216" s="98"/>
      <c r="S216" s="98"/>
    </row>
    <row r="217" spans="1:19" ht="16.2" thickBot="1" x14ac:dyDescent="0.35">
      <c r="A217" s="98"/>
      <c r="S217" s="98"/>
    </row>
    <row r="218" spans="1:19" ht="16.2" thickBot="1" x14ac:dyDescent="0.35">
      <c r="A218" s="97"/>
      <c r="S218" s="45"/>
    </row>
    <row r="219" spans="1:19" x14ac:dyDescent="0.3">
      <c r="A219" s="98"/>
      <c r="S219" s="98"/>
    </row>
    <row r="220" spans="1:19" ht="16.2" thickBot="1" x14ac:dyDescent="0.35">
      <c r="A220" s="99"/>
      <c r="S220" s="98"/>
    </row>
    <row r="221" spans="1:19" ht="16.2" thickBot="1" x14ac:dyDescent="0.35">
      <c r="A221" s="98"/>
      <c r="B221" s="50"/>
      <c r="C221" s="50"/>
      <c r="D221" s="50"/>
      <c r="E221" s="50"/>
      <c r="F221" s="50"/>
      <c r="G221" s="50"/>
      <c r="H221" s="50"/>
      <c r="I221" s="50"/>
      <c r="J221" s="50"/>
      <c r="K221" s="50"/>
      <c r="L221" s="50"/>
      <c r="M221" s="50"/>
      <c r="N221" s="50"/>
      <c r="O221" s="50"/>
      <c r="P221" s="50"/>
      <c r="Q221" s="50"/>
      <c r="R221" s="50"/>
      <c r="S221" s="98"/>
    </row>
    <row r="222" spans="1:19" ht="18" thickBot="1" x14ac:dyDescent="0.35">
      <c r="A222" s="98"/>
      <c r="Q222" s="39" t="s">
        <v>356</v>
      </c>
      <c r="R222" s="44" t="s">
        <v>355</v>
      </c>
      <c r="S222" s="98"/>
    </row>
    <row r="223" spans="1:19" x14ac:dyDescent="0.3">
      <c r="A223" s="98"/>
      <c r="S223" s="98"/>
    </row>
    <row r="224" spans="1:19" x14ac:dyDescent="0.3">
      <c r="A224" s="98"/>
      <c r="S224" s="98"/>
    </row>
    <row r="225" spans="1:19" x14ac:dyDescent="0.3">
      <c r="A225" s="98"/>
      <c r="S225" s="98"/>
    </row>
    <row r="226" spans="1:19" ht="17.399999999999999" x14ac:dyDescent="0.3">
      <c r="A226" s="98"/>
      <c r="I226" s="329" t="s">
        <v>153</v>
      </c>
      <c r="J226" s="330" t="s">
        <v>357</v>
      </c>
      <c r="K226" s="329">
        <f>Sheet1!Q192</f>
        <v>599.83018790167807</v>
      </c>
      <c r="S226" s="98"/>
    </row>
    <row r="227" spans="1:19" x14ac:dyDescent="0.3">
      <c r="A227" s="98"/>
      <c r="I227" s="39"/>
      <c r="J227" s="258"/>
      <c r="K227" s="39"/>
      <c r="S227" s="98"/>
    </row>
    <row r="228" spans="1:19" x14ac:dyDescent="0.3">
      <c r="A228" s="98"/>
      <c r="S228" s="98"/>
    </row>
    <row r="229" spans="1:19" x14ac:dyDescent="0.3">
      <c r="A229" s="98"/>
      <c r="I229" s="332" t="s">
        <v>153</v>
      </c>
      <c r="J229" s="327" t="s">
        <v>358</v>
      </c>
      <c r="K229" s="173"/>
      <c r="S229" s="98"/>
    </row>
    <row r="230" spans="1:19" x14ac:dyDescent="0.3">
      <c r="A230" s="98"/>
      <c r="I230" s="39"/>
      <c r="J230" s="258"/>
      <c r="K230" s="12"/>
      <c r="S230" s="98"/>
    </row>
    <row r="231" spans="1:19" x14ac:dyDescent="0.3">
      <c r="A231" s="98"/>
      <c r="S231" s="98"/>
    </row>
    <row r="232" spans="1:19" x14ac:dyDescent="0.3">
      <c r="A232" s="98"/>
      <c r="S232" s="98"/>
    </row>
    <row r="233" spans="1:19" x14ac:dyDescent="0.3">
      <c r="A233" s="98"/>
      <c r="S233" s="98"/>
    </row>
    <row r="234" spans="1:19" x14ac:dyDescent="0.3">
      <c r="A234" s="98"/>
      <c r="S234" s="98"/>
    </row>
    <row r="235" spans="1:19" x14ac:dyDescent="0.3">
      <c r="A235" s="98"/>
      <c r="S235" s="98"/>
    </row>
    <row r="236" spans="1:19" x14ac:dyDescent="0.3">
      <c r="A236" s="98"/>
      <c r="S236" s="98"/>
    </row>
    <row r="237" spans="1:19" x14ac:dyDescent="0.3">
      <c r="A237" s="98"/>
      <c r="S237" s="98"/>
    </row>
    <row r="238" spans="1:19" x14ac:dyDescent="0.3">
      <c r="A238" s="98"/>
      <c r="S238" s="98"/>
    </row>
    <row r="239" spans="1:19" x14ac:dyDescent="0.3">
      <c r="A239" s="98"/>
      <c r="S239" s="98"/>
    </row>
    <row r="240" spans="1:19" x14ac:dyDescent="0.3">
      <c r="A240" s="98"/>
      <c r="S240" s="98"/>
    </row>
    <row r="241" spans="1:19" x14ac:dyDescent="0.3">
      <c r="A241" s="98"/>
      <c r="S241" s="98"/>
    </row>
    <row r="242" spans="1:19" x14ac:dyDescent="0.3">
      <c r="A242" s="98"/>
      <c r="S242" s="98"/>
    </row>
    <row r="243" spans="1:19" x14ac:dyDescent="0.3">
      <c r="A243" s="98"/>
      <c r="S243" s="98"/>
    </row>
    <row r="244" spans="1:19" x14ac:dyDescent="0.3">
      <c r="A244" s="98"/>
      <c r="S244" s="98"/>
    </row>
    <row r="245" spans="1:19" ht="16.2" thickBot="1" x14ac:dyDescent="0.35">
      <c r="A245" s="155"/>
      <c r="B245" s="26"/>
      <c r="C245" s="26"/>
      <c r="D245" s="26"/>
      <c r="E245" s="26"/>
      <c r="F245" s="26"/>
      <c r="G245" s="26"/>
      <c r="H245" s="26"/>
      <c r="I245" s="26"/>
      <c r="J245" s="26"/>
      <c r="K245" s="26"/>
      <c r="L245" s="26"/>
      <c r="M245" s="26"/>
      <c r="N245" s="26"/>
      <c r="O245" s="26"/>
      <c r="P245" s="26"/>
      <c r="Q245" s="26"/>
      <c r="R245" s="26"/>
      <c r="S245" s="155"/>
    </row>
    <row r="246" spans="1:19" x14ac:dyDescent="0.3">
      <c r="A246" s="148"/>
      <c r="S246" s="148"/>
    </row>
    <row r="247" spans="1:19" ht="20.399999999999999" x14ac:dyDescent="0.35">
      <c r="A247" s="148"/>
      <c r="B247" s="39"/>
      <c r="C247" s="39"/>
      <c r="D247" s="12"/>
      <c r="E247" s="12"/>
      <c r="F247" s="12"/>
      <c r="I247" s="315"/>
      <c r="J247" s="471" t="s">
        <v>460</v>
      </c>
      <c r="K247" s="471"/>
      <c r="L247" s="471"/>
      <c r="M247" s="39"/>
      <c r="N247" s="39"/>
      <c r="O247" s="39"/>
      <c r="P247" s="12"/>
      <c r="Q247" s="12"/>
      <c r="R247" s="12"/>
      <c r="S247" s="148"/>
    </row>
    <row r="248" spans="1:19" x14ac:dyDescent="0.3">
      <c r="A248" s="148"/>
      <c r="B248" s="137"/>
      <c r="C248" s="137"/>
      <c r="D248" s="12"/>
      <c r="E248" s="12"/>
      <c r="F248" s="12"/>
      <c r="M248" s="37"/>
      <c r="N248" s="37"/>
      <c r="O248" s="37"/>
      <c r="P248" s="12"/>
      <c r="Q248" s="12"/>
      <c r="R248" s="12"/>
      <c r="S248" s="148"/>
    </row>
    <row r="249" spans="1:19" x14ac:dyDescent="0.3">
      <c r="A249" s="148"/>
      <c r="B249" s="137"/>
      <c r="C249" s="137"/>
      <c r="D249" s="12"/>
      <c r="E249" s="12"/>
      <c r="F249" s="12"/>
      <c r="I249" s="316" t="s">
        <v>461</v>
      </c>
      <c r="J249" s="316">
        <f>Sheet1!Q190</f>
        <v>0</v>
      </c>
      <c r="K249" s="472" t="s">
        <v>463</v>
      </c>
      <c r="L249" s="472"/>
      <c r="M249" s="472"/>
      <c r="N249" s="472"/>
      <c r="O249" s="472"/>
      <c r="P249" s="472"/>
      <c r="Q249" s="317"/>
      <c r="R249" s="12"/>
      <c r="S249" s="148"/>
    </row>
    <row r="250" spans="1:19" x14ac:dyDescent="0.3">
      <c r="A250" s="148"/>
      <c r="B250" s="137"/>
      <c r="C250" s="137"/>
      <c r="D250" s="12"/>
      <c r="E250" s="12"/>
      <c r="F250" s="12"/>
      <c r="I250" s="317"/>
      <c r="J250" s="317"/>
      <c r="K250" s="318"/>
      <c r="L250" s="318"/>
      <c r="M250" s="319"/>
      <c r="N250" s="319"/>
      <c r="O250" s="319"/>
      <c r="P250" s="318"/>
      <c r="Q250" s="317"/>
      <c r="R250" s="12"/>
      <c r="S250" s="148"/>
    </row>
    <row r="251" spans="1:19" x14ac:dyDescent="0.3">
      <c r="A251" s="148"/>
      <c r="B251" s="137"/>
      <c r="C251" s="137"/>
      <c r="D251" s="12"/>
      <c r="E251" s="12"/>
      <c r="F251" s="12"/>
      <c r="I251" s="316" t="s">
        <v>461</v>
      </c>
      <c r="J251" s="316">
        <f>Sheet1!Q199</f>
        <v>1.9</v>
      </c>
      <c r="K251" s="472" t="s">
        <v>464</v>
      </c>
      <c r="L251" s="472"/>
      <c r="M251" s="472"/>
      <c r="N251" s="472"/>
      <c r="O251" s="472"/>
      <c r="P251" s="472"/>
      <c r="Q251" s="317"/>
      <c r="R251" s="12"/>
      <c r="S251" s="148"/>
    </row>
    <row r="252" spans="1:19" x14ac:dyDescent="0.3">
      <c r="A252" s="148"/>
      <c r="B252" s="137"/>
      <c r="C252" s="137"/>
      <c r="D252" s="12"/>
      <c r="E252" s="12"/>
      <c r="F252" s="12"/>
      <c r="G252" s="39"/>
      <c r="H252" s="39"/>
      <c r="I252" s="317"/>
      <c r="J252" s="317"/>
      <c r="K252" s="318"/>
      <c r="L252" s="318"/>
      <c r="M252" s="318"/>
      <c r="N252" s="318"/>
      <c r="O252" s="318"/>
      <c r="P252" s="318"/>
      <c r="Q252" s="320"/>
      <c r="R252" s="39"/>
      <c r="S252" s="148"/>
    </row>
    <row r="253" spans="1:19" x14ac:dyDescent="0.3">
      <c r="A253" s="148"/>
      <c r="B253" s="137"/>
      <c r="C253" s="137"/>
      <c r="D253" s="12"/>
      <c r="E253" s="12"/>
      <c r="F253" s="12"/>
      <c r="I253" s="316" t="s">
        <v>461</v>
      </c>
      <c r="J253" s="316">
        <f>Sheet1!Q197</f>
        <v>1.9</v>
      </c>
      <c r="K253" s="472" t="s">
        <v>462</v>
      </c>
      <c r="L253" s="472"/>
      <c r="M253" s="472"/>
      <c r="N253" s="472"/>
      <c r="O253" s="472"/>
      <c r="P253" s="472"/>
      <c r="Q253" s="320"/>
      <c r="R253" s="39"/>
      <c r="S253" s="148"/>
    </row>
    <row r="254" spans="1:19" x14ac:dyDescent="0.3">
      <c r="A254" s="148"/>
      <c r="B254" s="137"/>
      <c r="C254" s="137"/>
      <c r="D254" s="12"/>
      <c r="E254" s="12"/>
      <c r="F254" s="12"/>
      <c r="I254" s="321"/>
      <c r="J254" s="321"/>
      <c r="K254" s="321"/>
      <c r="L254" s="321"/>
      <c r="M254" s="321"/>
      <c r="N254" s="322"/>
      <c r="O254" s="322"/>
      <c r="P254" s="317"/>
      <c r="Q254" s="317"/>
      <c r="R254" s="12"/>
      <c r="S254" s="148"/>
    </row>
    <row r="255" spans="1:19" x14ac:dyDescent="0.3">
      <c r="A255" s="148"/>
      <c r="B255" s="37"/>
      <c r="C255" s="37"/>
      <c r="D255" s="12"/>
      <c r="E255" s="12"/>
      <c r="F255" s="12"/>
      <c r="I255" s="321"/>
      <c r="J255" s="321"/>
      <c r="K255" s="320"/>
      <c r="L255" s="323"/>
      <c r="M255" s="323"/>
      <c r="N255" s="322"/>
      <c r="O255" s="322"/>
      <c r="P255" s="317"/>
      <c r="Q255" s="317"/>
      <c r="R255" s="12"/>
      <c r="S255" s="148"/>
    </row>
    <row r="256" spans="1:19" x14ac:dyDescent="0.3">
      <c r="A256" s="148"/>
      <c r="B256" s="37"/>
      <c r="C256" s="466" t="s">
        <v>465</v>
      </c>
      <c r="D256" s="466"/>
      <c r="E256" s="466"/>
      <c r="F256" s="466"/>
      <c r="G256" s="466"/>
      <c r="H256" s="466"/>
      <c r="I256" s="466"/>
      <c r="J256" s="466"/>
      <c r="K256" s="466"/>
      <c r="L256" s="466"/>
      <c r="M256" s="466"/>
      <c r="N256" s="467"/>
      <c r="O256" s="464" t="str">
        <f>Sheet1!Q98</f>
        <v>Rэkв  &gt; ٭R  , الشرط محقق</v>
      </c>
      <c r="P256" s="465"/>
      <c r="Q256" s="12"/>
      <c r="R256" s="12"/>
      <c r="S256" s="148"/>
    </row>
    <row r="257" spans="1:19" x14ac:dyDescent="0.3">
      <c r="A257" s="148"/>
      <c r="B257" s="37"/>
      <c r="C257" s="37"/>
      <c r="D257" s="12"/>
      <c r="E257" s="12"/>
      <c r="F257" s="12"/>
      <c r="K257" s="12"/>
      <c r="L257" s="314"/>
      <c r="M257" s="226"/>
      <c r="N257" s="314"/>
      <c r="O257" s="314"/>
      <c r="P257" s="12"/>
      <c r="Q257" s="12"/>
      <c r="R257" s="12"/>
      <c r="S257" s="148"/>
    </row>
    <row r="258" spans="1:19" x14ac:dyDescent="0.3">
      <c r="A258" s="148"/>
      <c r="B258" s="37"/>
      <c r="C258" s="37"/>
      <c r="D258" s="12"/>
      <c r="E258" s="12"/>
      <c r="F258" s="12"/>
      <c r="S258" s="148"/>
    </row>
    <row r="259" spans="1:19" x14ac:dyDescent="0.3">
      <c r="A259" s="148"/>
      <c r="B259" s="496"/>
      <c r="C259" s="496"/>
      <c r="D259" s="12"/>
      <c r="E259" s="12"/>
      <c r="S259" s="148"/>
    </row>
    <row r="260" spans="1:19" x14ac:dyDescent="0.3">
      <c r="A260" s="148"/>
      <c r="B260" s="496"/>
      <c r="C260" s="496"/>
      <c r="D260" s="12"/>
      <c r="E260" s="12"/>
      <c r="S260" s="148"/>
    </row>
    <row r="261" spans="1:19" x14ac:dyDescent="0.3">
      <c r="A261" s="148"/>
      <c r="S261" s="148"/>
    </row>
    <row r="262" spans="1:19" x14ac:dyDescent="0.3">
      <c r="A262" s="148"/>
      <c r="B262" s="148"/>
      <c r="C262" s="148"/>
      <c r="D262" s="148"/>
      <c r="E262" s="148"/>
      <c r="F262" s="148"/>
      <c r="G262" s="148"/>
      <c r="H262" s="148"/>
      <c r="I262" s="148"/>
      <c r="J262" s="148"/>
      <c r="K262" s="148"/>
      <c r="L262" s="148"/>
      <c r="M262" s="148"/>
      <c r="N262" s="148"/>
      <c r="O262" s="148"/>
      <c r="P262" s="148"/>
      <c r="Q262" s="148"/>
      <c r="R262" s="148"/>
      <c r="S262" s="148"/>
    </row>
    <row r="263" spans="1:19" x14ac:dyDescent="0.3">
      <c r="A263" s="148"/>
      <c r="B263" s="148"/>
      <c r="C263" s="148"/>
      <c r="D263" s="148"/>
      <c r="E263" s="148"/>
      <c r="F263" s="148"/>
      <c r="G263" s="148"/>
      <c r="H263" s="148"/>
      <c r="I263" s="148"/>
      <c r="J263" s="148"/>
      <c r="K263" s="148"/>
      <c r="L263" s="148"/>
      <c r="M263" s="148"/>
      <c r="N263" s="148"/>
      <c r="O263" s="148"/>
      <c r="P263" s="148"/>
      <c r="Q263" s="148"/>
      <c r="R263" s="148"/>
      <c r="S263" s="148"/>
    </row>
  </sheetData>
  <mergeCells count="155">
    <mergeCell ref="H6:I6"/>
    <mergeCell ref="N26:O26"/>
    <mergeCell ref="L27:M27"/>
    <mergeCell ref="L28:M28"/>
    <mergeCell ref="I7:J7"/>
    <mergeCell ref="K7:L7"/>
    <mergeCell ref="M7:N7"/>
    <mergeCell ref="O7:P7"/>
    <mergeCell ref="G92:I92"/>
    <mergeCell ref="G38:H38"/>
    <mergeCell ref="J62:K62"/>
    <mergeCell ref="J64:K64"/>
    <mergeCell ref="J65:K65"/>
    <mergeCell ref="N73:O73"/>
    <mergeCell ref="L77:M77"/>
    <mergeCell ref="N76:O76"/>
    <mergeCell ref="N77:O77"/>
    <mergeCell ref="P76:Q76"/>
    <mergeCell ref="P77:Q77"/>
    <mergeCell ref="L39:M39"/>
    <mergeCell ref="F26:G26"/>
    <mergeCell ref="B27:J27"/>
    <mergeCell ref="D28:H28"/>
    <mergeCell ref="C45:F45"/>
    <mergeCell ref="C54:F54"/>
    <mergeCell ref="N47:P47"/>
    <mergeCell ref="P46:Q46"/>
    <mergeCell ref="N48:P48"/>
    <mergeCell ref="N49:P49"/>
    <mergeCell ref="N50:P50"/>
    <mergeCell ref="N52:P52"/>
    <mergeCell ref="N53:P53"/>
    <mergeCell ref="N51:P51"/>
    <mergeCell ref="N54:R54"/>
    <mergeCell ref="C50:F50"/>
    <mergeCell ref="C51:F51"/>
    <mergeCell ref="C52:F52"/>
    <mergeCell ref="C53:F53"/>
    <mergeCell ref="C46:F46"/>
    <mergeCell ref="C39:F39"/>
    <mergeCell ref="G39:H39"/>
    <mergeCell ref="I39:J39"/>
    <mergeCell ref="I28:J28"/>
    <mergeCell ref="B65:C65"/>
    <mergeCell ref="B66:C66"/>
    <mergeCell ref="B67:C67"/>
    <mergeCell ref="B68:C68"/>
    <mergeCell ref="B63:C63"/>
    <mergeCell ref="F61:G61"/>
    <mergeCell ref="B62:C62"/>
    <mergeCell ref="D62:E62"/>
    <mergeCell ref="C47:F47"/>
    <mergeCell ref="C48:F48"/>
    <mergeCell ref="C49:F49"/>
    <mergeCell ref="E40:F40"/>
    <mergeCell ref="C41:F41"/>
    <mergeCell ref="C42:F42"/>
    <mergeCell ref="C43:F43"/>
    <mergeCell ref="C44:F44"/>
    <mergeCell ref="F62:H62"/>
    <mergeCell ref="C55:F55"/>
    <mergeCell ref="C56:F56"/>
    <mergeCell ref="C57:F57"/>
    <mergeCell ref="C74:J74"/>
    <mergeCell ref="E73:F73"/>
    <mergeCell ref="L76:M76"/>
    <mergeCell ref="J63:K63"/>
    <mergeCell ref="D64:E64"/>
    <mergeCell ref="D65:E65"/>
    <mergeCell ref="D66:E66"/>
    <mergeCell ref="D67:E67"/>
    <mergeCell ref="F64:H64"/>
    <mergeCell ref="F65:H65"/>
    <mergeCell ref="F66:H66"/>
    <mergeCell ref="F67:H67"/>
    <mergeCell ref="J67:K67"/>
    <mergeCell ref="J66:K66"/>
    <mergeCell ref="B69:C69"/>
    <mergeCell ref="D63:E63"/>
    <mergeCell ref="F63:H63"/>
    <mergeCell ref="B64:C64"/>
    <mergeCell ref="N75:O75"/>
    <mergeCell ref="P75:Q75"/>
    <mergeCell ref="L74:Q74"/>
    <mergeCell ref="N83:Q83"/>
    <mergeCell ref="O86:P86"/>
    <mergeCell ref="O87:P87"/>
    <mergeCell ref="M87:N87"/>
    <mergeCell ref="K87:L87"/>
    <mergeCell ref="P78:Q78"/>
    <mergeCell ref="N78:O78"/>
    <mergeCell ref="L78:M78"/>
    <mergeCell ref="L75:M75"/>
    <mergeCell ref="B259:C259"/>
    <mergeCell ref="B260:C260"/>
    <mergeCell ref="J84:K84"/>
    <mergeCell ref="O88:P88"/>
    <mergeCell ref="M88:N88"/>
    <mergeCell ref="K88:L88"/>
    <mergeCell ref="I88:J88"/>
    <mergeCell ref="G88:H88"/>
    <mergeCell ref="I87:J87"/>
    <mergeCell ref="G87:H87"/>
    <mergeCell ref="E87:F87"/>
    <mergeCell ref="C87:D87"/>
    <mergeCell ref="E88:F88"/>
    <mergeCell ref="I94:J94"/>
    <mergeCell ref="G94:H94"/>
    <mergeCell ref="E94:F94"/>
    <mergeCell ref="C88:D88"/>
    <mergeCell ref="C102:D102"/>
    <mergeCell ref="C103:D103"/>
    <mergeCell ref="C104:D104"/>
    <mergeCell ref="C105:D105"/>
    <mergeCell ref="C106:D106"/>
    <mergeCell ref="E101:F101"/>
    <mergeCell ref="J102:K102"/>
    <mergeCell ref="N92:R92"/>
    <mergeCell ref="N94:O94"/>
    <mergeCell ref="N95:O95"/>
    <mergeCell ref="N115:N116"/>
    <mergeCell ref="I120:J120"/>
    <mergeCell ref="I128:J128"/>
    <mergeCell ref="I129:J129"/>
    <mergeCell ref="I131:J131"/>
    <mergeCell ref="I132:J132"/>
    <mergeCell ref="I115:J116"/>
    <mergeCell ref="I117:J117"/>
    <mergeCell ref="I118:J118"/>
    <mergeCell ref="I119:J119"/>
    <mergeCell ref="K115:M115"/>
    <mergeCell ref="O256:P256"/>
    <mergeCell ref="C256:N256"/>
    <mergeCell ref="E93:J93"/>
    <mergeCell ref="J247:L247"/>
    <mergeCell ref="K249:P249"/>
    <mergeCell ref="K251:P251"/>
    <mergeCell ref="K253:P253"/>
    <mergeCell ref="D110:G110"/>
    <mergeCell ref="B117:D117"/>
    <mergeCell ref="N93:O93"/>
    <mergeCell ref="B189:C189"/>
    <mergeCell ref="B190:C190"/>
    <mergeCell ref="B191:C191"/>
    <mergeCell ref="D187:H187"/>
    <mergeCell ref="I137:J137"/>
    <mergeCell ref="I135:J135"/>
    <mergeCell ref="I156:J156"/>
    <mergeCell ref="I157:J157"/>
    <mergeCell ref="I159:J159"/>
    <mergeCell ref="C107:D107"/>
    <mergeCell ref="I160:J160"/>
    <mergeCell ref="I163:J163"/>
    <mergeCell ref="I165:J165"/>
    <mergeCell ref="B187:C188"/>
  </mergeCells>
  <pageMargins left="0.7" right="0.7" top="0.75" bottom="0.75" header="0.3" footer="0.3"/>
  <pageSetup paperSize="9" orientation="portrait" horizontalDpi="4294967294"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42"/>
  <sheetViews>
    <sheetView rightToLeft="1" topLeftCell="A91" workbookViewId="0">
      <selection activeCell="D145" sqref="D145"/>
    </sheetView>
  </sheetViews>
  <sheetFormatPr defaultRowHeight="15.6" x14ac:dyDescent="0.3"/>
  <cols>
    <col min="2" max="2" width="7.8984375" customWidth="1"/>
    <col min="3" max="3" width="9.8984375" bestFit="1" customWidth="1"/>
    <col min="7" max="7" width="9.8984375" customWidth="1"/>
  </cols>
  <sheetData>
    <row r="1" spans="1:12" ht="17.399999999999999" x14ac:dyDescent="0.3">
      <c r="B1" s="54" t="s">
        <v>471</v>
      </c>
    </row>
    <row r="3" spans="1:12" ht="18" x14ac:dyDescent="0.35">
      <c r="A3" s="349" t="s">
        <v>523</v>
      </c>
    </row>
    <row r="4" spans="1:12" ht="16.2" thickBot="1" x14ac:dyDescent="0.35">
      <c r="A4" s="12" t="s">
        <v>472</v>
      </c>
      <c r="B4" s="39" t="s">
        <v>473</v>
      </c>
    </row>
    <row r="5" spans="1:12" x14ac:dyDescent="0.3">
      <c r="A5" s="77" t="s">
        <v>176</v>
      </c>
      <c r="B5" s="58" t="s">
        <v>177</v>
      </c>
      <c r="C5" s="77" t="s">
        <v>178</v>
      </c>
      <c r="D5" s="58" t="s">
        <v>179</v>
      </c>
      <c r="E5" s="343" t="s">
        <v>180</v>
      </c>
      <c r="F5" s="58" t="s">
        <v>181</v>
      </c>
      <c r="G5" s="350" t="s">
        <v>475</v>
      </c>
      <c r="H5" s="350" t="s">
        <v>476</v>
      </c>
      <c r="I5" s="351" t="s">
        <v>478</v>
      </c>
      <c r="J5" s="348"/>
      <c r="K5" s="579"/>
      <c r="L5" s="579"/>
    </row>
    <row r="6" spans="1:12" x14ac:dyDescent="0.3">
      <c r="A6" s="35"/>
      <c r="B6" s="35"/>
      <c r="C6" s="35"/>
      <c r="D6" s="35"/>
      <c r="E6" s="35"/>
      <c r="F6" s="35"/>
      <c r="G6" s="344" t="s">
        <v>474</v>
      </c>
      <c r="H6" s="352" t="s">
        <v>477</v>
      </c>
      <c r="I6" s="35"/>
    </row>
    <row r="7" spans="1:12" x14ac:dyDescent="0.3">
      <c r="A7" s="46"/>
      <c r="B7" s="46"/>
      <c r="C7" s="163" t="s">
        <v>0</v>
      </c>
      <c r="D7" s="162" t="s">
        <v>191</v>
      </c>
      <c r="E7" s="163" t="s">
        <v>190</v>
      </c>
      <c r="F7" s="162" t="s">
        <v>189</v>
      </c>
      <c r="G7" s="163" t="s">
        <v>188</v>
      </c>
      <c r="H7" s="162" t="s">
        <v>187</v>
      </c>
      <c r="I7" s="78" t="s">
        <v>2</v>
      </c>
    </row>
    <row r="8" spans="1:12" x14ac:dyDescent="0.3">
      <c r="A8" s="197" t="s">
        <v>200</v>
      </c>
      <c r="B8" s="198">
        <v>1000</v>
      </c>
      <c r="C8" s="199">
        <f>Sheet3!E23</f>
        <v>547</v>
      </c>
      <c r="D8" s="198">
        <f>Sheet3!F23</f>
        <v>2.46</v>
      </c>
      <c r="E8" s="199">
        <f>Sheet3!G23</f>
        <v>1.37</v>
      </c>
      <c r="F8" s="198">
        <f>Sheet3!H23</f>
        <v>0.48</v>
      </c>
      <c r="G8" s="199">
        <f>Sheet3!I23</f>
        <v>2.8</v>
      </c>
      <c r="H8" s="198">
        <f>Sheet3!K23</f>
        <v>1</v>
      </c>
      <c r="I8" s="199">
        <f>Sheet3!M23</f>
        <v>270</v>
      </c>
    </row>
    <row r="10" spans="1:12" x14ac:dyDescent="0.3">
      <c r="A10" t="s">
        <v>137</v>
      </c>
      <c r="C10" s="341" t="s">
        <v>205</v>
      </c>
    </row>
    <row r="11" spans="1:12" x14ac:dyDescent="0.3">
      <c r="A11" s="575" t="s">
        <v>208</v>
      </c>
      <c r="B11" s="596"/>
      <c r="C11" s="340">
        <v>1.639</v>
      </c>
    </row>
    <row r="12" spans="1:12" x14ac:dyDescent="0.3">
      <c r="B12">
        <f>Sheet3!C32</f>
        <v>600</v>
      </c>
      <c r="C12" s="105" t="s">
        <v>479</v>
      </c>
      <c r="D12" t="s">
        <v>492</v>
      </c>
      <c r="F12" t="s">
        <v>480</v>
      </c>
    </row>
    <row r="13" spans="1:12" x14ac:dyDescent="0.3">
      <c r="B13">
        <f>Sheet3!F32</f>
        <v>30</v>
      </c>
      <c r="C13" s="104" t="s">
        <v>144</v>
      </c>
      <c r="D13" t="s">
        <v>493</v>
      </c>
      <c r="F13" t="s">
        <v>481</v>
      </c>
    </row>
    <row r="15" spans="1:12" x14ac:dyDescent="0.3">
      <c r="A15" s="12" t="s">
        <v>482</v>
      </c>
      <c r="B15" s="39" t="s">
        <v>483</v>
      </c>
      <c r="C15" s="39"/>
    </row>
    <row r="16" spans="1:12" x14ac:dyDescent="0.3">
      <c r="B16" s="344" t="s">
        <v>484</v>
      </c>
      <c r="C16" s="344" t="s">
        <v>211</v>
      </c>
      <c r="D16" s="344" t="s">
        <v>485</v>
      </c>
      <c r="E16" s="344" t="s">
        <v>485</v>
      </c>
      <c r="F16" s="344" t="s">
        <v>213</v>
      </c>
      <c r="G16" s="344" t="s">
        <v>488</v>
      </c>
      <c r="H16" s="344" t="s">
        <v>489</v>
      </c>
      <c r="I16" s="344" t="s">
        <v>490</v>
      </c>
    </row>
    <row r="17" spans="1:9" x14ac:dyDescent="0.3">
      <c r="B17" s="353"/>
      <c r="C17" s="353"/>
      <c r="D17" s="353" t="s">
        <v>486</v>
      </c>
      <c r="E17" s="353" t="s">
        <v>487</v>
      </c>
      <c r="F17" s="353"/>
      <c r="G17" s="353"/>
      <c r="H17" s="353"/>
      <c r="I17" s="353" t="s">
        <v>491</v>
      </c>
    </row>
    <row r="18" spans="1:9" x14ac:dyDescent="0.3">
      <c r="B18" s="46"/>
      <c r="C18" s="106" t="s">
        <v>216</v>
      </c>
      <c r="D18" s="106" t="s">
        <v>217</v>
      </c>
      <c r="E18" s="106" t="s">
        <v>219</v>
      </c>
      <c r="F18" s="106" t="s">
        <v>218</v>
      </c>
      <c r="G18" s="342" t="s">
        <v>233</v>
      </c>
      <c r="H18" s="342" t="s">
        <v>63</v>
      </c>
      <c r="I18" s="342" t="s">
        <v>495</v>
      </c>
    </row>
    <row r="19" spans="1:9" x14ac:dyDescent="0.3">
      <c r="B19" s="30"/>
      <c r="C19" s="340">
        <f>Sheet3!G56</f>
        <v>1.5E-6</v>
      </c>
      <c r="D19" s="340">
        <f>Sheet3!I56</f>
        <v>0.25</v>
      </c>
      <c r="E19" s="340">
        <f>Sheet3!M56</f>
        <v>0.79</v>
      </c>
      <c r="F19" s="340">
        <f>Sheet3!K56</f>
        <v>0.56000000000000005</v>
      </c>
      <c r="G19" s="340">
        <f>Sheet3!R52</f>
        <v>3</v>
      </c>
      <c r="H19" s="340">
        <f>Sheet3!Q52</f>
        <v>5</v>
      </c>
      <c r="I19" s="340">
        <f>Sheet3!F68</f>
        <v>600</v>
      </c>
    </row>
    <row r="20" spans="1:9" x14ac:dyDescent="0.3">
      <c r="C20" t="s">
        <v>494</v>
      </c>
    </row>
    <row r="21" spans="1:9" ht="17.399999999999999" x14ac:dyDescent="0.3">
      <c r="C21" s="133" t="s">
        <v>261</v>
      </c>
      <c r="D21" s="340">
        <f>Sheet3!I68</f>
        <v>2</v>
      </c>
    </row>
    <row r="22" spans="1:9" x14ac:dyDescent="0.3">
      <c r="A22" s="12" t="s">
        <v>496</v>
      </c>
      <c r="B22" s="39" t="s">
        <v>497</v>
      </c>
    </row>
    <row r="23" spans="1:9" x14ac:dyDescent="0.3">
      <c r="B23" s="354" t="s">
        <v>498</v>
      </c>
      <c r="C23" s="354" t="s">
        <v>500</v>
      </c>
      <c r="D23" s="354" t="s">
        <v>502</v>
      </c>
    </row>
    <row r="24" spans="1:9" x14ac:dyDescent="0.3">
      <c r="B24" s="355" t="s">
        <v>499</v>
      </c>
      <c r="C24" s="355" t="s">
        <v>501</v>
      </c>
      <c r="D24" s="355" t="s">
        <v>503</v>
      </c>
    </row>
    <row r="25" spans="1:9" x14ac:dyDescent="0.3">
      <c r="B25" s="30">
        <f>Sheet3!Q79</f>
        <v>2100000</v>
      </c>
      <c r="C25" s="30">
        <f>Sheet3!O79</f>
        <v>4000</v>
      </c>
      <c r="D25" s="30">
        <f>Sheet3!F77</f>
        <v>200</v>
      </c>
    </row>
    <row r="26" spans="1:9" x14ac:dyDescent="0.3">
      <c r="A26" s="12" t="s">
        <v>504</v>
      </c>
      <c r="B26" s="39" t="s">
        <v>505</v>
      </c>
    </row>
    <row r="27" spans="1:9" x14ac:dyDescent="0.3">
      <c r="B27" s="157" t="s">
        <v>506</v>
      </c>
      <c r="C27" s="157" t="s">
        <v>507</v>
      </c>
      <c r="D27" s="157" t="s">
        <v>508</v>
      </c>
      <c r="E27" s="157" t="s">
        <v>509</v>
      </c>
      <c r="F27" s="157" t="s">
        <v>511</v>
      </c>
      <c r="G27" s="157" t="s">
        <v>512</v>
      </c>
      <c r="H27" s="157" t="s">
        <v>513</v>
      </c>
    </row>
    <row r="28" spans="1:9" x14ac:dyDescent="0.3">
      <c r="B28" s="161"/>
      <c r="C28" s="161"/>
      <c r="D28" s="161"/>
      <c r="E28" s="161" t="s">
        <v>510</v>
      </c>
      <c r="F28" s="161" t="s">
        <v>510</v>
      </c>
      <c r="G28" s="161" t="s">
        <v>510</v>
      </c>
      <c r="H28" s="161" t="s">
        <v>510</v>
      </c>
    </row>
    <row r="29" spans="1:9" x14ac:dyDescent="0.3">
      <c r="B29" s="30">
        <f>Sheet3!P89</f>
        <v>1</v>
      </c>
      <c r="C29" s="30">
        <f>Sheet3!N89</f>
        <v>3</v>
      </c>
      <c r="D29" s="30">
        <f>Sheet3!L89</f>
        <v>2.4500000000000002</v>
      </c>
      <c r="E29" s="30">
        <f>Sheet3!J89</f>
        <v>0.15</v>
      </c>
      <c r="F29" s="30">
        <f>Sheet3!H89</f>
        <v>0.15</v>
      </c>
      <c r="G29" s="30">
        <f>Sheet3!F89</f>
        <v>0.15</v>
      </c>
      <c r="H29" s="30">
        <f>Sheet3!D89</f>
        <v>8.9999999999999993E-3</v>
      </c>
    </row>
    <row r="31" spans="1:9" ht="17.399999999999999" x14ac:dyDescent="0.3">
      <c r="A31" s="232" t="s">
        <v>514</v>
      </c>
    </row>
    <row r="32" spans="1:9" x14ac:dyDescent="0.3">
      <c r="A32" s="253">
        <v>1</v>
      </c>
      <c r="B32" t="s">
        <v>524</v>
      </c>
    </row>
    <row r="34" spans="1:9" ht="18" x14ac:dyDescent="0.35">
      <c r="B34">
        <f>Sheet1!E39</f>
        <v>2.1523623895545723</v>
      </c>
      <c r="G34" s="356" t="s">
        <v>468</v>
      </c>
    </row>
    <row r="35" spans="1:9" x14ac:dyDescent="0.3">
      <c r="B35">
        <f>Sheet1!E41</f>
        <v>1.2921958912758353</v>
      </c>
      <c r="C35" s="27"/>
      <c r="D35" s="29"/>
      <c r="E35" s="27" t="s">
        <v>40</v>
      </c>
      <c r="F35" s="28"/>
      <c r="G35" s="253"/>
    </row>
    <row r="36" spans="1:9" x14ac:dyDescent="0.3">
      <c r="B36">
        <f>Sheet1!E40</f>
        <v>0.9</v>
      </c>
      <c r="C36" s="597" t="s">
        <v>515</v>
      </c>
      <c r="D36" s="597"/>
      <c r="E36" s="597"/>
    </row>
    <row r="37" spans="1:9" x14ac:dyDescent="0.3">
      <c r="B37">
        <f>Sheet1!E42</f>
        <v>2.5</v>
      </c>
      <c r="F37" s="381" t="s">
        <v>516</v>
      </c>
      <c r="G37" s="381"/>
      <c r="H37" s="381"/>
      <c r="I37" s="381"/>
    </row>
    <row r="38" spans="1:9" x14ac:dyDescent="0.3">
      <c r="B38">
        <f>Sheet1!G44</f>
        <v>329.26339285714295</v>
      </c>
      <c r="F38" s="381" t="s">
        <v>13</v>
      </c>
      <c r="G38" s="381"/>
      <c r="H38" s="381"/>
      <c r="I38" s="381"/>
    </row>
    <row r="39" spans="1:9" x14ac:dyDescent="0.3">
      <c r="B39" s="1">
        <f>Sheet1!D44</f>
        <v>420.40350000000001</v>
      </c>
      <c r="C39" s="1"/>
      <c r="D39" s="381" t="s">
        <v>31</v>
      </c>
      <c r="E39" s="381"/>
    </row>
    <row r="40" spans="1:9" x14ac:dyDescent="0.3">
      <c r="B40">
        <f>Sheet1!G46</f>
        <v>1.2767999999999997</v>
      </c>
      <c r="F40" s="381" t="s">
        <v>517</v>
      </c>
      <c r="G40" s="381"/>
      <c r="H40" s="381"/>
      <c r="I40" s="381"/>
    </row>
    <row r="41" spans="1:9" ht="21" x14ac:dyDescent="0.4">
      <c r="B41" s="234">
        <f>Sheet1!N45</f>
        <v>0.41725397804326481</v>
      </c>
      <c r="C41" s="1"/>
      <c r="D41" s="435" t="s">
        <v>392</v>
      </c>
      <c r="E41" s="381"/>
      <c r="F41" t="s">
        <v>368</v>
      </c>
    </row>
    <row r="43" spans="1:9" x14ac:dyDescent="0.3">
      <c r="A43" s="253">
        <v>2</v>
      </c>
      <c r="B43" s="39" t="s">
        <v>53</v>
      </c>
    </row>
    <row r="44" spans="1:9" x14ac:dyDescent="0.3">
      <c r="B44" s="345">
        <f>Sheet1!Q92</f>
        <v>4.4181623033380468</v>
      </c>
      <c r="C44" s="346"/>
      <c r="D44" s="346"/>
      <c r="E44" s="346"/>
      <c r="F44" s="347"/>
      <c r="G44" t="s">
        <v>527</v>
      </c>
    </row>
    <row r="45" spans="1:9" x14ac:dyDescent="0.3">
      <c r="B45">
        <f>Sheet1!Q87</f>
        <v>0.23208428249584623</v>
      </c>
      <c r="E45" s="369" t="s">
        <v>59</v>
      </c>
      <c r="F45" s="369"/>
      <c r="G45" s="369"/>
    </row>
    <row r="46" spans="1:9" x14ac:dyDescent="0.3">
      <c r="B46">
        <f>Sheet1!Q91</f>
        <v>4.1119097599739405</v>
      </c>
      <c r="F46" s="389" t="s">
        <v>400</v>
      </c>
      <c r="G46" s="390"/>
      <c r="H46" s="390"/>
      <c r="I46" s="450"/>
    </row>
    <row r="47" spans="1:9" x14ac:dyDescent="0.3">
      <c r="B47">
        <f>Sheet1!Q88</f>
        <v>1.7351084115113076</v>
      </c>
      <c r="F47" s="369" t="s">
        <v>398</v>
      </c>
      <c r="G47" s="369"/>
      <c r="H47" s="369"/>
      <c r="I47" s="369"/>
    </row>
    <row r="48" spans="1:9" x14ac:dyDescent="0.3">
      <c r="B48">
        <f>Sheet1!Q89</f>
        <v>1.0386148098969583</v>
      </c>
      <c r="F48" s="369" t="s">
        <v>60</v>
      </c>
      <c r="G48" s="369"/>
      <c r="H48" s="369"/>
      <c r="I48" s="389"/>
    </row>
    <row r="49" spans="1:9" x14ac:dyDescent="0.3">
      <c r="B49">
        <f>Sheet1!Q90</f>
        <v>7.7648915884886929</v>
      </c>
      <c r="F49" s="369" t="s">
        <v>399</v>
      </c>
      <c r="G49" s="369"/>
      <c r="H49" s="369"/>
      <c r="I49" s="389"/>
    </row>
    <row r="51" spans="1:9" x14ac:dyDescent="0.3">
      <c r="A51" s="253">
        <v>3</v>
      </c>
      <c r="B51" s="39" t="s">
        <v>70</v>
      </c>
    </row>
    <row r="52" spans="1:9" x14ac:dyDescent="0.3">
      <c r="B52" s="598" t="str">
        <f>Sheet1!Q98</f>
        <v>Rэkв  &gt; ٭R  , الشرط محقق</v>
      </c>
      <c r="C52" s="598"/>
    </row>
    <row r="54" spans="1:9" x14ac:dyDescent="0.3">
      <c r="A54" s="253">
        <v>4</v>
      </c>
      <c r="B54" s="39" t="s">
        <v>518</v>
      </c>
    </row>
    <row r="56" spans="1:9" ht="16.2" thickBot="1" x14ac:dyDescent="0.35">
      <c r="B56" s="381"/>
      <c r="C56" s="381"/>
      <c r="D56" s="381"/>
      <c r="E56" s="381"/>
    </row>
    <row r="57" spans="1:9" ht="21.6" thickBot="1" x14ac:dyDescent="0.45">
      <c r="F57" s="372" t="s">
        <v>315</v>
      </c>
      <c r="G57" s="373"/>
      <c r="H57" s="374"/>
      <c r="I57" s="40" t="s">
        <v>76</v>
      </c>
    </row>
    <row r="58" spans="1:9" ht="21.6" thickBot="1" x14ac:dyDescent="0.45">
      <c r="F58" s="372" t="s">
        <v>75</v>
      </c>
      <c r="G58" s="373"/>
      <c r="H58" s="439"/>
      <c r="I58" s="41" t="s">
        <v>77</v>
      </c>
    </row>
    <row r="59" spans="1:9" ht="18" thickBot="1" x14ac:dyDescent="0.35">
      <c r="B59">
        <f>Sheet1!Q108</f>
        <v>5.4065549094521145E-2</v>
      </c>
      <c r="C59" s="357" t="s">
        <v>78</v>
      </c>
      <c r="D59" t="s">
        <v>531</v>
      </c>
    </row>
    <row r="61" spans="1:9" x14ac:dyDescent="0.3">
      <c r="A61" s="253">
        <v>5</v>
      </c>
      <c r="B61" s="39" t="s">
        <v>519</v>
      </c>
    </row>
    <row r="62" spans="1:9" ht="16.2" thickBot="1" x14ac:dyDescent="0.35"/>
    <row r="63" spans="1:9" ht="16.2" thickBot="1" x14ac:dyDescent="0.35">
      <c r="B63" s="460" t="s">
        <v>528</v>
      </c>
      <c r="C63" s="461"/>
      <c r="D63" s="461"/>
      <c r="E63" s="461"/>
      <c r="F63" s="461"/>
      <c r="G63" s="462"/>
    </row>
    <row r="64" spans="1:9" x14ac:dyDescent="0.3">
      <c r="B64">
        <f>Sheet1!R116</f>
        <v>4.580750651960834E-2</v>
      </c>
      <c r="C64" t="s">
        <v>529</v>
      </c>
      <c r="D64" t="s">
        <v>531</v>
      </c>
    </row>
    <row r="65" spans="1:9" x14ac:dyDescent="0.3">
      <c r="A65" s="253">
        <v>6</v>
      </c>
      <c r="B65" s="39" t="s">
        <v>520</v>
      </c>
    </row>
    <row r="67" spans="1:9" ht="21" x14ac:dyDescent="0.4">
      <c r="B67" s="435" t="s">
        <v>83</v>
      </c>
      <c r="C67" s="381"/>
      <c r="D67" s="381"/>
      <c r="E67" s="381"/>
      <c r="F67" s="381"/>
      <c r="G67" t="s">
        <v>531</v>
      </c>
    </row>
    <row r="68" spans="1:9" x14ac:dyDescent="0.3">
      <c r="B68">
        <f>Sheet1!Q139</f>
        <v>5.5321599806833991E-3</v>
      </c>
      <c r="C68" t="s">
        <v>530</v>
      </c>
    </row>
    <row r="69" spans="1:9" x14ac:dyDescent="0.3">
      <c r="B69">
        <f>Sheet1!O143</f>
        <v>640</v>
      </c>
      <c r="D69" s="381" t="s">
        <v>85</v>
      </c>
      <c r="E69" s="381"/>
      <c r="G69" t="s">
        <v>480</v>
      </c>
    </row>
    <row r="70" spans="1:9" x14ac:dyDescent="0.3">
      <c r="B70">
        <f>Sheet1!O144</f>
        <v>325</v>
      </c>
      <c r="D70" s="381" t="s">
        <v>86</v>
      </c>
      <c r="E70" s="381"/>
      <c r="G70" t="s">
        <v>480</v>
      </c>
    </row>
    <row r="72" spans="1:9" x14ac:dyDescent="0.3">
      <c r="A72" s="253">
        <v>7</v>
      </c>
      <c r="B72" s="39" t="s">
        <v>521</v>
      </c>
    </row>
    <row r="73" spans="1:9" x14ac:dyDescent="0.3">
      <c r="B73">
        <f>Sheet1!Q157</f>
        <v>98.699999999999989</v>
      </c>
      <c r="C73" s="369" t="s">
        <v>92</v>
      </c>
      <c r="D73" s="369"/>
      <c r="E73" s="369"/>
      <c r="F73" s="369"/>
      <c r="G73" s="369"/>
      <c r="H73" s="30" t="s">
        <v>93</v>
      </c>
    </row>
    <row r="74" spans="1:9" x14ac:dyDescent="0.3">
      <c r="B74" s="340">
        <f>Sheet1!Q158</f>
        <v>209.1325824925423</v>
      </c>
      <c r="C74" s="369" t="s">
        <v>95</v>
      </c>
      <c r="D74" s="369"/>
      <c r="E74" s="369"/>
      <c r="F74" s="369"/>
      <c r="G74" s="369"/>
      <c r="H74" s="30" t="s">
        <v>94</v>
      </c>
    </row>
    <row r="75" spans="1:9" x14ac:dyDescent="0.3">
      <c r="B75" s="340">
        <f>Sheet1!Q171</f>
        <v>0.93324999999999991</v>
      </c>
      <c r="C75" s="340"/>
      <c r="D75" s="340"/>
      <c r="E75" s="340"/>
      <c r="F75" s="389" t="s">
        <v>104</v>
      </c>
      <c r="G75" s="390"/>
      <c r="H75" s="391"/>
    </row>
    <row r="76" spans="1:9" x14ac:dyDescent="0.3">
      <c r="B76">
        <f>Sheet1!Q160</f>
        <v>3</v>
      </c>
      <c r="F76" s="457" t="s">
        <v>96</v>
      </c>
      <c r="G76" s="458"/>
      <c r="H76" s="458"/>
      <c r="I76" s="459"/>
    </row>
    <row r="77" spans="1:9" x14ac:dyDescent="0.3">
      <c r="B77">
        <f>Sheet1!Q161</f>
        <v>1179750143.2499998</v>
      </c>
      <c r="C77" s="592" t="s">
        <v>378</v>
      </c>
      <c r="D77" s="592"/>
      <c r="E77" s="592"/>
      <c r="F77" s="592"/>
      <c r="G77" s="592"/>
    </row>
    <row r="78" spans="1:9" x14ac:dyDescent="0.3">
      <c r="B78">
        <f>Sheet1!Q162</f>
        <v>9</v>
      </c>
      <c r="C78" s="388" t="s">
        <v>100</v>
      </c>
      <c r="D78" s="388"/>
      <c r="E78" s="388"/>
      <c r="F78" s="388"/>
      <c r="G78" s="388"/>
    </row>
    <row r="79" spans="1:9" x14ac:dyDescent="0.3">
      <c r="B79">
        <f>Sheet1!Q163</f>
        <v>10</v>
      </c>
      <c r="C79" s="389" t="s">
        <v>99</v>
      </c>
      <c r="D79" s="390"/>
      <c r="E79" s="390"/>
      <c r="F79" s="391"/>
      <c r="I79" t="s">
        <v>532</v>
      </c>
    </row>
    <row r="80" spans="1:9" x14ac:dyDescent="0.3">
      <c r="B80">
        <f>Sheet1!Q165</f>
        <v>3.82262996941896E-5</v>
      </c>
      <c r="C80" s="593" t="s">
        <v>525</v>
      </c>
      <c r="D80" s="594"/>
      <c r="E80" s="594"/>
      <c r="F80" s="594"/>
      <c r="G80" s="594"/>
      <c r="H80" s="595"/>
    </row>
    <row r="81" spans="1:9" x14ac:dyDescent="0.3">
      <c r="B81">
        <f>Sheet1!Q167</f>
        <v>1.89</v>
      </c>
      <c r="C81" s="389" t="s">
        <v>377</v>
      </c>
      <c r="D81" s="390"/>
      <c r="E81" s="390"/>
      <c r="F81" s="390"/>
      <c r="G81" s="390"/>
      <c r="H81" s="391"/>
      <c r="I81" t="s">
        <v>532</v>
      </c>
    </row>
    <row r="82" spans="1:9" x14ac:dyDescent="0.3">
      <c r="B82">
        <f>Sheet1!Q168</f>
        <v>4956</v>
      </c>
      <c r="F82" s="340" t="s">
        <v>108</v>
      </c>
      <c r="G82" s="340"/>
      <c r="H82" t="s">
        <v>461</v>
      </c>
    </row>
    <row r="83" spans="1:9" x14ac:dyDescent="0.3">
      <c r="B83">
        <f>Sheet1!Q169</f>
        <v>236</v>
      </c>
      <c r="C83" s="369" t="s">
        <v>109</v>
      </c>
      <c r="D83" s="369"/>
      <c r="H83" t="s">
        <v>461</v>
      </c>
    </row>
    <row r="84" spans="1:9" x14ac:dyDescent="0.3">
      <c r="B84">
        <f>B75</f>
        <v>0.93324999999999991</v>
      </c>
      <c r="C84" s="369" t="s">
        <v>113</v>
      </c>
      <c r="D84" s="369"/>
      <c r="E84" s="369"/>
      <c r="F84" s="369"/>
      <c r="G84" s="369"/>
    </row>
    <row r="87" spans="1:9" x14ac:dyDescent="0.3">
      <c r="A87" s="253">
        <v>8</v>
      </c>
      <c r="B87" s="39" t="s">
        <v>116</v>
      </c>
    </row>
    <row r="88" spans="1:9" x14ac:dyDescent="0.3">
      <c r="B88">
        <f>B64</f>
        <v>4.580750651960834E-2</v>
      </c>
      <c r="C88" t="s">
        <v>114</v>
      </c>
    </row>
    <row r="89" spans="1:9" x14ac:dyDescent="0.3">
      <c r="B89">
        <f>Sheet1!M176</f>
        <v>5.7919666898103043E-6</v>
      </c>
      <c r="C89" t="s">
        <v>115</v>
      </c>
    </row>
    <row r="90" spans="1:9" x14ac:dyDescent="0.3">
      <c r="B90" s="137" t="str">
        <f>Sheet1!O176</f>
        <v>الشرط محقق</v>
      </c>
    </row>
    <row r="91" spans="1:9" x14ac:dyDescent="0.3">
      <c r="A91" s="253">
        <v>9</v>
      </c>
      <c r="B91" s="39" t="s">
        <v>117</v>
      </c>
    </row>
    <row r="92" spans="1:9" x14ac:dyDescent="0.3">
      <c r="B92">
        <f>Sheet1!Q181</f>
        <v>7.5992391617414405</v>
      </c>
      <c r="D92" s="368" t="s">
        <v>118</v>
      </c>
      <c r="E92" s="368"/>
      <c r="F92" s="368"/>
      <c r="G92" s="368"/>
      <c r="H92" t="s">
        <v>461</v>
      </c>
    </row>
    <row r="93" spans="1:9" ht="18" x14ac:dyDescent="0.35">
      <c r="B93">
        <f>Sheet1!Q183</f>
        <v>1.48630915026146</v>
      </c>
      <c r="C93" s="47" t="s">
        <v>119</v>
      </c>
      <c r="D93" s="389" t="s">
        <v>264</v>
      </c>
      <c r="E93" s="390"/>
      <c r="F93" s="390"/>
      <c r="G93" s="391"/>
    </row>
    <row r="96" spans="1:9" x14ac:dyDescent="0.3">
      <c r="B96">
        <f>Sheet1!P185</f>
        <v>12333.749999999998</v>
      </c>
      <c r="C96" s="369" t="s">
        <v>157</v>
      </c>
      <c r="D96" s="369"/>
      <c r="E96" s="369"/>
    </row>
    <row r="97" spans="1:7" x14ac:dyDescent="0.3">
      <c r="B97">
        <f>Sheet1!P186</f>
        <v>3</v>
      </c>
      <c r="C97" s="30" t="s">
        <v>120</v>
      </c>
    </row>
    <row r="99" spans="1:7" x14ac:dyDescent="0.3">
      <c r="A99" s="253">
        <v>10</v>
      </c>
      <c r="B99" s="39" t="s">
        <v>126</v>
      </c>
    </row>
    <row r="100" spans="1:7" ht="16.2" thickBot="1" x14ac:dyDescent="0.35"/>
    <row r="101" spans="1:7" ht="16.2" thickBot="1" x14ac:dyDescent="0.35">
      <c r="B101" s="358">
        <f>Sheet1!Q190</f>
        <v>0</v>
      </c>
      <c r="C101" s="391" t="s">
        <v>127</v>
      </c>
      <c r="D101" s="369"/>
      <c r="E101" s="369"/>
      <c r="F101" s="369"/>
    </row>
    <row r="102" spans="1:7" ht="18" x14ac:dyDescent="0.35">
      <c r="B102">
        <f>Sheet1!Q192</f>
        <v>599.83018790167807</v>
      </c>
      <c r="C102" s="53" t="s">
        <v>130</v>
      </c>
      <c r="E102" s="30" t="s">
        <v>128</v>
      </c>
    </row>
    <row r="104" spans="1:7" x14ac:dyDescent="0.3">
      <c r="A104" s="253">
        <v>11</v>
      </c>
      <c r="B104" s="39" t="s">
        <v>522</v>
      </c>
    </row>
    <row r="106" spans="1:7" x14ac:dyDescent="0.3">
      <c r="B106" s="359">
        <f>Sheet1!Q197</f>
        <v>1.9</v>
      </c>
      <c r="C106" s="369" t="s">
        <v>134</v>
      </c>
      <c r="D106" s="369"/>
      <c r="E106" s="369"/>
      <c r="F106" s="369"/>
      <c r="G106" t="s">
        <v>461</v>
      </c>
    </row>
    <row r="107" spans="1:7" ht="21" x14ac:dyDescent="0.4">
      <c r="B107">
        <f>Sheet1!Q199</f>
        <v>1.9</v>
      </c>
      <c r="D107" s="592" t="s">
        <v>526</v>
      </c>
      <c r="E107" s="592"/>
      <c r="F107" s="592"/>
      <c r="G107" t="s">
        <v>461</v>
      </c>
    </row>
    <row r="109" spans="1:7" x14ac:dyDescent="0.3">
      <c r="B109" s="359" t="s">
        <v>551</v>
      </c>
      <c r="C109" s="359"/>
      <c r="D109" s="359"/>
      <c r="E109" s="359"/>
      <c r="F109" s="359"/>
      <c r="G109" s="359"/>
    </row>
    <row r="110" spans="1:7" x14ac:dyDescent="0.3">
      <c r="B110" s="360" t="s">
        <v>533</v>
      </c>
      <c r="C110" s="360"/>
      <c r="D110" s="57">
        <v>17.600000000000001</v>
      </c>
      <c r="E110" s="360" t="s">
        <v>537</v>
      </c>
      <c r="F110" s="360" t="s">
        <v>534</v>
      </c>
      <c r="G110" s="360" t="s">
        <v>538</v>
      </c>
    </row>
    <row r="111" spans="1:7" x14ac:dyDescent="0.3">
      <c r="B111" s="360" t="s">
        <v>535</v>
      </c>
      <c r="C111" s="360"/>
      <c r="D111" s="57">
        <v>17.600000000000001</v>
      </c>
      <c r="E111" s="360" t="s">
        <v>536</v>
      </c>
      <c r="F111" s="360" t="s">
        <v>534</v>
      </c>
      <c r="G111" s="360" t="s">
        <v>538</v>
      </c>
    </row>
    <row r="113" spans="1:7" x14ac:dyDescent="0.3">
      <c r="A113">
        <v>12</v>
      </c>
      <c r="B113" s="359" t="s">
        <v>539</v>
      </c>
      <c r="C113" s="359"/>
    </row>
    <row r="114" spans="1:7" x14ac:dyDescent="0.3">
      <c r="B114">
        <f>(D110/(0.94*H29*B82*10))^0.5</f>
        <v>0.20488280132769396</v>
      </c>
      <c r="E114" t="s">
        <v>555</v>
      </c>
      <c r="F114" t="s">
        <v>540</v>
      </c>
    </row>
    <row r="115" spans="1:7" x14ac:dyDescent="0.3">
      <c r="B115">
        <f>(D111/(0.94*H29*B82*10))^0.5</f>
        <v>0.20488280132769396</v>
      </c>
      <c r="E115" t="s">
        <v>556</v>
      </c>
      <c r="F115" t="s">
        <v>541</v>
      </c>
    </row>
    <row r="117" spans="1:7" x14ac:dyDescent="0.3">
      <c r="B117" t="s">
        <v>554</v>
      </c>
      <c r="E117">
        <f>1.05*B114</f>
        <v>0.21512694139407867</v>
      </c>
      <c r="F117" t="s">
        <v>532</v>
      </c>
    </row>
    <row r="118" spans="1:7" x14ac:dyDescent="0.3">
      <c r="B118" t="s">
        <v>553</v>
      </c>
      <c r="E118">
        <f>1.05*B115</f>
        <v>0.21512694139407867</v>
      </c>
      <c r="F118" t="s">
        <v>532</v>
      </c>
    </row>
    <row r="121" spans="1:7" x14ac:dyDescent="0.3">
      <c r="B121" s="359" t="s">
        <v>552</v>
      </c>
      <c r="C121" s="359"/>
      <c r="D121" s="359"/>
      <c r="E121" s="359"/>
      <c r="F121" s="359"/>
      <c r="G121" s="359"/>
    </row>
    <row r="122" spans="1:7" x14ac:dyDescent="0.3">
      <c r="B122" s="360" t="s">
        <v>533</v>
      </c>
      <c r="C122" s="360"/>
      <c r="D122" s="57">
        <v>24</v>
      </c>
      <c r="E122" s="360" t="s">
        <v>537</v>
      </c>
      <c r="F122" s="360" t="s">
        <v>534</v>
      </c>
      <c r="G122" s="360" t="s">
        <v>538</v>
      </c>
    </row>
    <row r="123" spans="1:7" x14ac:dyDescent="0.3">
      <c r="B123" s="360" t="s">
        <v>535</v>
      </c>
      <c r="C123" s="360"/>
      <c r="D123" s="57">
        <v>10</v>
      </c>
      <c r="E123" s="360" t="s">
        <v>536</v>
      </c>
      <c r="F123" s="360" t="s">
        <v>534</v>
      </c>
      <c r="G123" s="360" t="s">
        <v>538</v>
      </c>
    </row>
    <row r="125" spans="1:7" x14ac:dyDescent="0.3">
      <c r="B125" s="359" t="s">
        <v>539</v>
      </c>
      <c r="C125" s="359"/>
    </row>
    <row r="126" spans="1:7" x14ac:dyDescent="0.3">
      <c r="B126" s="30">
        <f>(D122/(0.94*H29*B82*10))^0.5</f>
        <v>0.23925156676569723</v>
      </c>
      <c r="C126" s="30"/>
      <c r="D126" s="30"/>
      <c r="E126" s="30" t="s">
        <v>555</v>
      </c>
      <c r="F126" s="30" t="s">
        <v>540</v>
      </c>
    </row>
    <row r="127" spans="1:7" x14ac:dyDescent="0.3">
      <c r="B127" s="30">
        <f>(D123/(0.94*H29*B82*10))^0.5</f>
        <v>0.15443622227292955</v>
      </c>
      <c r="C127" s="30"/>
      <c r="D127" s="30"/>
      <c r="E127" s="30" t="s">
        <v>556</v>
      </c>
      <c r="F127" s="30" t="s">
        <v>541</v>
      </c>
    </row>
    <row r="129" spans="2:8" x14ac:dyDescent="0.3">
      <c r="B129" s="30" t="s">
        <v>554</v>
      </c>
      <c r="C129" s="30"/>
      <c r="D129" s="30"/>
      <c r="E129" s="30">
        <f>1.05*B126</f>
        <v>0.2512141451039821</v>
      </c>
      <c r="F129" s="30" t="s">
        <v>532</v>
      </c>
    </row>
    <row r="130" spans="2:8" x14ac:dyDescent="0.3">
      <c r="B130" s="30" t="s">
        <v>553</v>
      </c>
      <c r="C130" s="30"/>
      <c r="D130" s="30"/>
      <c r="E130" s="30">
        <f>1.05*B127</f>
        <v>0.16215803338657603</v>
      </c>
      <c r="F130" s="30" t="s">
        <v>532</v>
      </c>
    </row>
    <row r="133" spans="2:8" x14ac:dyDescent="0.3">
      <c r="B133" t="s">
        <v>558</v>
      </c>
      <c r="D133" s="25">
        <v>40</v>
      </c>
      <c r="E133" t="s">
        <v>562</v>
      </c>
      <c r="F133" t="s">
        <v>559</v>
      </c>
      <c r="G133" s="340">
        <v>24</v>
      </c>
      <c r="H133" t="s">
        <v>561</v>
      </c>
    </row>
    <row r="134" spans="2:8" x14ac:dyDescent="0.3">
      <c r="F134" t="s">
        <v>560</v>
      </c>
      <c r="G134" s="340">
        <v>18</v>
      </c>
      <c r="H134" t="s">
        <v>561</v>
      </c>
    </row>
    <row r="136" spans="2:8" x14ac:dyDescent="0.3">
      <c r="B136" s="30">
        <f>100000*G133/(0.94*(D133-5)*B82)</f>
        <v>14.719194565673368</v>
      </c>
      <c r="E136" t="s">
        <v>563</v>
      </c>
      <c r="F136" t="s">
        <v>557</v>
      </c>
      <c r="H136" t="s">
        <v>564</v>
      </c>
    </row>
    <row r="138" spans="2:8" x14ac:dyDescent="0.3">
      <c r="B138" s="30">
        <f>100000*G134/(0.94*(D133-5)*B82)</f>
        <v>11.039395924255025</v>
      </c>
      <c r="E138" t="s">
        <v>565</v>
      </c>
      <c r="F138" t="s">
        <v>566</v>
      </c>
      <c r="H138" t="s">
        <v>564</v>
      </c>
    </row>
    <row r="139" spans="2:8" ht="16.2" thickBot="1" x14ac:dyDescent="0.35"/>
    <row r="140" spans="2:8" ht="16.2" thickBot="1" x14ac:dyDescent="0.35">
      <c r="B140" s="118" t="s">
        <v>567</v>
      </c>
      <c r="C140" s="68"/>
      <c r="D140" s="68"/>
      <c r="E140" s="68"/>
      <c r="F140" s="69"/>
    </row>
    <row r="141" spans="2:8" ht="16.2" thickBot="1" x14ac:dyDescent="0.35"/>
    <row r="142" spans="2:8" ht="16.2" thickBot="1" x14ac:dyDescent="0.35">
      <c r="B142" s="118" t="s">
        <v>568</v>
      </c>
      <c r="C142" s="68"/>
      <c r="D142" s="68"/>
      <c r="E142" s="68"/>
      <c r="F142" s="69"/>
    </row>
  </sheetData>
  <mergeCells count="38">
    <mergeCell ref="D70:E70"/>
    <mergeCell ref="F49:I49"/>
    <mergeCell ref="B52:C52"/>
    <mergeCell ref="B56:E56"/>
    <mergeCell ref="F58:H58"/>
    <mergeCell ref="F57:H57"/>
    <mergeCell ref="C79:F79"/>
    <mergeCell ref="K5:L5"/>
    <mergeCell ref="A11:B11"/>
    <mergeCell ref="C36:E36"/>
    <mergeCell ref="D41:E41"/>
    <mergeCell ref="F37:I37"/>
    <mergeCell ref="F38:I38"/>
    <mergeCell ref="F40:I40"/>
    <mergeCell ref="D39:E39"/>
    <mergeCell ref="F46:I46"/>
    <mergeCell ref="F47:I47"/>
    <mergeCell ref="F48:I48"/>
    <mergeCell ref="E45:G45"/>
    <mergeCell ref="B63:G63"/>
    <mergeCell ref="B67:F67"/>
    <mergeCell ref="D69:E69"/>
    <mergeCell ref="D107:F107"/>
    <mergeCell ref="C73:G73"/>
    <mergeCell ref="C74:G74"/>
    <mergeCell ref="D92:G92"/>
    <mergeCell ref="D93:G93"/>
    <mergeCell ref="C96:E96"/>
    <mergeCell ref="C101:F101"/>
    <mergeCell ref="C106:F106"/>
    <mergeCell ref="C80:H80"/>
    <mergeCell ref="C81:H81"/>
    <mergeCell ref="C83:D83"/>
    <mergeCell ref="C84:G84"/>
    <mergeCell ref="F75:H75"/>
    <mergeCell ref="F76:I76"/>
    <mergeCell ref="C77:G77"/>
    <mergeCell ref="C78:G78"/>
  </mergeCells>
  <pageMargins left="0.7" right="0.7" top="0.75" bottom="0.75" header="0.3" footer="0.3"/>
  <pageSetup paperSize="9" orientation="portrait" horizontalDpi="4294967294"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rightToLeft="1" workbookViewId="0"/>
  </sheetViews>
  <sheetFormatPr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ورقة1</vt:lpstr>
      <vt:lpstr>ورقة2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dc:creator>
  <cp:lastModifiedBy>عوض</cp:lastModifiedBy>
  <cp:lastPrinted>2019-07-27T21:44:54Z</cp:lastPrinted>
  <dcterms:created xsi:type="dcterms:W3CDTF">2017-12-21T07:56:23Z</dcterms:created>
  <dcterms:modified xsi:type="dcterms:W3CDTF">2025-07-29T16:04:11Z</dcterms:modified>
</cp:coreProperties>
</file>