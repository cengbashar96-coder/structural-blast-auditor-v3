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charts/chart2.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30" windowWidth="20400" windowHeight="7995" activeTab="2"/>
  </bookViews>
  <sheets>
    <sheet name="Sheet1" sheetId="1" r:id="rId1"/>
    <sheet name="Sheet2" sheetId="2" r:id="rId2"/>
    <sheet name="Sheet3" sheetId="3" r:id="rId3"/>
  </sheets>
  <calcPr calcId="124519"/>
</workbook>
</file>

<file path=xl/calcChain.xml><?xml version="1.0" encoding="utf-8"?>
<calcChain xmlns="http://schemas.openxmlformats.org/spreadsheetml/2006/main">
  <c r="I90" i="3"/>
  <c r="N93"/>
  <c r="N92"/>
  <c r="S35" i="2"/>
  <c r="S34"/>
  <c r="S2"/>
  <c r="Q2"/>
  <c r="AB2"/>
  <c r="AA2"/>
  <c r="Z2"/>
  <c r="AB14" s="1"/>
  <c r="Y2"/>
  <c r="X2"/>
  <c r="W2"/>
  <c r="V2"/>
  <c r="U2"/>
  <c r="AB18" s="1"/>
  <c r="T2"/>
  <c r="R2"/>
  <c r="AB17"/>
  <c r="F251" i="3"/>
  <c r="B11"/>
  <c r="B12" s="1"/>
  <c r="B13" s="1"/>
  <c r="B14" s="1"/>
  <c r="B15" s="1"/>
  <c r="B16" s="1"/>
  <c r="B17" s="1"/>
  <c r="B18" s="1"/>
  <c r="B19" s="1"/>
  <c r="B20" s="1"/>
  <c r="B21" s="1"/>
  <c r="B22" s="1"/>
  <c r="B10"/>
  <c r="AB25" i="2" l="1"/>
  <c r="AB10"/>
  <c r="AB16"/>
  <c r="AB30" s="1"/>
  <c r="AC32" s="1"/>
  <c r="K93" i="3" s="1"/>
  <c r="AB12" i="2"/>
  <c r="AB34" s="1"/>
  <c r="AC31" l="1"/>
  <c r="K92" i="3" s="1"/>
  <c r="AB21" i="2"/>
  <c r="AB20" s="1"/>
  <c r="I72" i="3" s="1"/>
  <c r="AB8" i="2"/>
  <c r="R248" i="3"/>
  <c r="AB27" i="2" l="1"/>
  <c r="I89" i="3" s="1"/>
  <c r="I87"/>
  <c r="F252"/>
  <c r="F253"/>
  <c r="F254" l="1"/>
  <c r="R250" l="1"/>
  <c r="F255"/>
  <c r="M256" s="1"/>
  <c r="F256" l="1"/>
  <c r="M257" s="1"/>
  <c r="R249"/>
  <c r="F248"/>
  <c r="F249" l="1"/>
  <c r="F250"/>
</calcChain>
</file>

<file path=xl/sharedStrings.xml><?xml version="1.0" encoding="utf-8"?>
<sst xmlns="http://schemas.openxmlformats.org/spreadsheetml/2006/main" count="276" uniqueCount="219">
  <si>
    <t>P</t>
  </si>
  <si>
    <t>C</t>
  </si>
  <si>
    <t>α</t>
  </si>
  <si>
    <r>
      <t xml:space="preserve"> λ1= 0.5+0.4*(lгч/d)^</t>
    </r>
    <r>
      <rPr>
        <sz val="9"/>
        <color theme="1"/>
        <rFont val="Times New Roman"/>
        <family val="1"/>
      </rPr>
      <t>0.666</t>
    </r>
  </si>
  <si>
    <r>
      <t xml:space="preserve">للقنابل الغير الموجهة V تساوي 250-300 م/ثا  اما </t>
    </r>
    <r>
      <rPr>
        <sz val="12"/>
        <color theme="1"/>
        <rFont val="Times New Roman"/>
        <family val="1"/>
      </rPr>
      <t>α</t>
    </r>
    <r>
      <rPr>
        <sz val="12"/>
        <color theme="1"/>
        <rFont val="Times New Roman"/>
        <family val="2"/>
      </rPr>
      <t xml:space="preserve"> فتساوي 20-30 درجة</t>
    </r>
  </si>
  <si>
    <t>اما للقنابل الموجهة فحسب الجدول</t>
  </si>
  <si>
    <t>V</t>
  </si>
  <si>
    <t>300-400</t>
  </si>
  <si>
    <t>400-600</t>
  </si>
  <si>
    <t>790-940</t>
  </si>
  <si>
    <t>25-40</t>
  </si>
  <si>
    <t>30-45</t>
  </si>
  <si>
    <t>40-60</t>
  </si>
  <si>
    <t>للصواريخ</t>
  </si>
  <si>
    <t xml:space="preserve"> درجة,α</t>
  </si>
  <si>
    <t xml:space="preserve"> م/ثا ,V</t>
  </si>
  <si>
    <t xml:space="preserve"> </t>
  </si>
  <si>
    <t>A</t>
  </si>
  <si>
    <t>جدول رقم 2</t>
  </si>
  <si>
    <t>جدول رقم3</t>
  </si>
  <si>
    <t>نوع المادة المتفجرة</t>
  </si>
  <si>
    <t>تريتونال 80-20</t>
  </si>
  <si>
    <t>خليط v</t>
  </si>
  <si>
    <t>تورليكس H6</t>
  </si>
  <si>
    <t>تريتونال 90/40</t>
  </si>
  <si>
    <t>ايدنالود</t>
  </si>
  <si>
    <t>V=</t>
  </si>
  <si>
    <t>α=</t>
  </si>
  <si>
    <t>K1=</t>
  </si>
  <si>
    <t>ادخل المعطيات الاساسية بعد النظر الى الجداول والرسوم وضع قيم هذه المعطيات في المربعات المخصصة باللون الاحمر</t>
  </si>
  <si>
    <t>A-1</t>
  </si>
  <si>
    <t>نوع القنبلة</t>
  </si>
  <si>
    <t>عياره(فونت)</t>
  </si>
  <si>
    <t>الوزن,كغ</t>
  </si>
  <si>
    <t xml:space="preserve">الطول العام, م </t>
  </si>
  <si>
    <t>طول الهيكل, م</t>
  </si>
  <si>
    <t>قطر الهيكل,م</t>
  </si>
  <si>
    <t>نسبة طول الحشوة الى قطر الهيكل</t>
  </si>
  <si>
    <t xml:space="preserve">نسبة طول الرأس الحربي الى القطر </t>
  </si>
  <si>
    <t>وزن المواد المتفجرة, كغ</t>
  </si>
  <si>
    <t>الترميز</t>
  </si>
  <si>
    <t>_</t>
  </si>
  <si>
    <r>
      <t>l</t>
    </r>
    <r>
      <rPr>
        <b/>
        <sz val="9"/>
        <color theme="1"/>
        <rFont val="Times New Roman"/>
        <family val="1"/>
      </rPr>
      <t>гч</t>
    </r>
    <r>
      <rPr>
        <b/>
        <sz val="11"/>
        <color theme="1"/>
        <rFont val="Times New Roman"/>
        <family val="1"/>
      </rPr>
      <t>/d</t>
    </r>
    <r>
      <rPr>
        <b/>
        <sz val="9"/>
        <color theme="1"/>
        <rFont val="Times New Roman"/>
        <family val="1"/>
      </rPr>
      <t>k</t>
    </r>
  </si>
  <si>
    <r>
      <t>lᴈ/d</t>
    </r>
    <r>
      <rPr>
        <b/>
        <sz val="9"/>
        <color theme="1"/>
        <rFont val="Times New Roman"/>
        <family val="1"/>
      </rPr>
      <t>k</t>
    </r>
  </si>
  <si>
    <r>
      <t>d</t>
    </r>
    <r>
      <rPr>
        <b/>
        <sz val="9"/>
        <color theme="1"/>
        <rFont val="Times New Roman"/>
        <family val="1"/>
      </rPr>
      <t>k</t>
    </r>
  </si>
  <si>
    <r>
      <t>l</t>
    </r>
    <r>
      <rPr>
        <b/>
        <sz val="9"/>
        <color theme="1"/>
        <rFont val="Times New Roman"/>
        <family val="1"/>
      </rPr>
      <t>k</t>
    </r>
  </si>
  <si>
    <r>
      <t>l</t>
    </r>
    <r>
      <rPr>
        <b/>
        <sz val="9"/>
        <color theme="1"/>
        <rFont val="Times New Roman"/>
        <family val="1"/>
      </rPr>
      <t>oб</t>
    </r>
  </si>
  <si>
    <t>AN-M30A1</t>
  </si>
  <si>
    <t>AN-M57A1</t>
  </si>
  <si>
    <t>M117(M)</t>
  </si>
  <si>
    <t>AN-M65A1</t>
  </si>
  <si>
    <t>AN-M66A1</t>
  </si>
  <si>
    <t>AN-M64A1</t>
  </si>
  <si>
    <t>MK81</t>
  </si>
  <si>
    <t>MK82</t>
  </si>
  <si>
    <t>MK83</t>
  </si>
  <si>
    <t>MK84</t>
  </si>
  <si>
    <t>MK81 سنيكاي</t>
  </si>
  <si>
    <t>MK82 سنيكاي</t>
  </si>
  <si>
    <t>M117R</t>
  </si>
  <si>
    <t>تريتونال</t>
  </si>
  <si>
    <r>
      <rPr>
        <b/>
        <sz val="12"/>
        <color theme="1"/>
        <rFont val="Times New Roman"/>
        <family val="1"/>
      </rPr>
      <t>ملاحظة:</t>
    </r>
    <r>
      <rPr>
        <sz val="12"/>
        <color theme="1"/>
        <rFont val="Times New Roman"/>
        <family val="2"/>
      </rPr>
      <t xml:space="preserve"> اذا كانت القنيلة المطلوبة غير موجودة في الجدول يجب معرفة مواصفاتها ووضعها في المربعات الحمر</t>
    </r>
  </si>
  <si>
    <t>جدول 1</t>
  </si>
  <si>
    <t xml:space="preserve"> معامل المادة المتفجرة-K1</t>
  </si>
  <si>
    <t>جدول 3 يبين قوة المادة المتفجرة في القنبلة منسوبا الى التراتيل</t>
  </si>
  <si>
    <t>معامل الاختراق</t>
  </si>
  <si>
    <t>معامل التصدع من جهة الانفجار</t>
  </si>
  <si>
    <t>معامل التدمير</t>
  </si>
  <si>
    <t>معامل التصدع من الجهة المعاكسة</t>
  </si>
  <si>
    <t>نوع المادة</t>
  </si>
  <si>
    <t>Kпp</t>
  </si>
  <si>
    <t>Kв</t>
  </si>
  <si>
    <t>Kp</t>
  </si>
  <si>
    <t>Kot</t>
  </si>
  <si>
    <t>طين رخو مشبع بالماء</t>
  </si>
  <si>
    <t>طين متوسط الكثافة</t>
  </si>
  <si>
    <t>طبقة رمل مخلط بالشوائب</t>
  </si>
  <si>
    <t>طبقة من البلوك او الاحجارة المرصوفة</t>
  </si>
  <si>
    <t>طبقة بلوك او احجارة مرصوفة مع استخدام الاسمنت</t>
  </si>
  <si>
    <t>غرانيت او غنيس</t>
  </si>
  <si>
    <t>ازفيستنياك</t>
  </si>
  <si>
    <t>بيتون عادي مقاومة 170 kg/cm2</t>
  </si>
  <si>
    <t>بيتون عادي مقاومة 225 kg/cm2</t>
  </si>
  <si>
    <t>بيتون مسلح مقاومة 200 كغ/سم2</t>
  </si>
  <si>
    <t>بيتون مسلح مقاومة250-300 كغ/سم2</t>
  </si>
  <si>
    <t xml:space="preserve">رمل رخو او رمل مع شوائب </t>
  </si>
  <si>
    <t>طين مع حجار</t>
  </si>
  <si>
    <t>طبقة طينية طبيعية مع وجود احجار في تشكيلها</t>
  </si>
  <si>
    <t>طبقة رمل نقي طبيعي/او طبقة كلسية</t>
  </si>
  <si>
    <t>تربة رملية او كلسية</t>
  </si>
  <si>
    <t>A-2</t>
  </si>
  <si>
    <t xml:space="preserve"> مواصفات والمعاملات الخاصة بالتربة والبيتون و حديد التسليح</t>
  </si>
  <si>
    <t>قيمة ( R¯̽)</t>
  </si>
  <si>
    <t>0.4&lt; ḧ&lt;=0.8</t>
  </si>
  <si>
    <t>ḧ&lt;=0.4</t>
  </si>
  <si>
    <t>ḧ =</t>
  </si>
  <si>
    <t xml:space="preserve"> R¯̽ =</t>
  </si>
  <si>
    <t>0.35 - 0.7</t>
  </si>
  <si>
    <t>0.5 - 0.9</t>
  </si>
  <si>
    <t>0.55 - 0.9</t>
  </si>
  <si>
    <t>0.65 - 1.0</t>
  </si>
  <si>
    <t>عزيزي المهندس الشاطر: يتم استخدام هذا البرنامج من خلال هذه الصفحة وستكون الإدخالات والمخرجات في هذه الصفحة ولاداعي لفتح الصفحة الاولى والثانية لأن اي كتابة او تعديل سيؤدي الى تخريب البرنامج</t>
  </si>
  <si>
    <t>جدول 2 يبين السرعة الابتدائية لسقوط القنبلة وزاوية الميل عن الشاقول عند الاصطدام بالارض</t>
  </si>
  <si>
    <t>جدول نتائج الحسابات</t>
  </si>
  <si>
    <t>سماكة السقف</t>
  </si>
  <si>
    <t>سماكة الجدار الخارجي</t>
  </si>
  <si>
    <t>سماكة الارضية</t>
  </si>
  <si>
    <t>سماكة الجدران الداخلية</t>
  </si>
  <si>
    <t>سماكة بلاطة الحماية</t>
  </si>
  <si>
    <t>سماكة طبقة توزيع الضغط</t>
  </si>
  <si>
    <t>الحمولة الحسابية على السقف</t>
  </si>
  <si>
    <t>الحمولة الحسابية على الجدار</t>
  </si>
  <si>
    <t>Hc</t>
  </si>
  <si>
    <t>Hp.c</t>
  </si>
  <si>
    <t>التسمية</t>
  </si>
  <si>
    <t>الرمز</t>
  </si>
  <si>
    <t>الوحدة</t>
  </si>
  <si>
    <t>القيمة</t>
  </si>
  <si>
    <t>Hп</t>
  </si>
  <si>
    <t>Hф</t>
  </si>
  <si>
    <t>Hвc</t>
  </si>
  <si>
    <r>
      <rPr>
        <b/>
        <sz val="14"/>
        <color theme="1"/>
        <rFont val="Times New Roman"/>
        <family val="1"/>
      </rPr>
      <t>h</t>
    </r>
    <r>
      <rPr>
        <b/>
        <sz val="12"/>
        <color theme="1"/>
        <rFont val="Times New Roman"/>
        <family val="1"/>
      </rPr>
      <t>t</t>
    </r>
  </si>
  <si>
    <t>Ppп</t>
  </si>
  <si>
    <t>Ppc</t>
  </si>
  <si>
    <t>م</t>
  </si>
  <si>
    <t>كغ/سم2</t>
  </si>
  <si>
    <t>عمق اختراق القنبلة في التربة</t>
  </si>
  <si>
    <t>الزمن الفعال لتأثير الانفجار على السقف</t>
  </si>
  <si>
    <t>الزمن الفعال لتأثير الانفجار على الجدار</t>
  </si>
  <si>
    <t>بروز بلاطة الحماية</t>
  </si>
  <si>
    <t>Bt</t>
  </si>
  <si>
    <r>
      <rPr>
        <b/>
        <sz val="14"/>
        <color theme="1"/>
        <rFont val="Times New Roman"/>
        <family val="1"/>
      </rPr>
      <t>h</t>
    </r>
    <r>
      <rPr>
        <b/>
        <sz val="12"/>
        <color theme="1"/>
        <rFont val="Times New Roman"/>
        <family val="1"/>
      </rPr>
      <t>пр</t>
    </r>
  </si>
  <si>
    <r>
      <rPr>
        <b/>
        <sz val="16"/>
        <color theme="1"/>
        <rFont val="Times New Roman"/>
        <family val="1"/>
      </rPr>
      <t>τ</t>
    </r>
    <r>
      <rPr>
        <b/>
        <sz val="12"/>
        <color theme="1"/>
        <rFont val="Times New Roman"/>
        <family val="1"/>
      </rPr>
      <t>эф</t>
    </r>
  </si>
  <si>
    <t>ثا</t>
  </si>
  <si>
    <t>سم</t>
  </si>
  <si>
    <t xml:space="preserve">ارجو منك الالتزام بطريقة العمل حسب ماسأكتبه ادناه. القيم الموضوعة هي لحالة دراسية معينة اما انت فاختر ماتريده وستتغير الارقام والحسابات بناء على دراستك انت. </t>
  </si>
  <si>
    <t>كغ.سم</t>
  </si>
  <si>
    <t>قيمة العزم</t>
  </si>
  <si>
    <t>سقف</t>
  </si>
  <si>
    <t>جدار</t>
  </si>
  <si>
    <t>قيمة (q)</t>
  </si>
  <si>
    <t>كغ/سم</t>
  </si>
  <si>
    <t>سيدي المحترم: بما ان العزوم مختلفة حسب عدد المجازات وابعادها فلا يمكن ان ندخلها في الحسابات ولكن سنعطيك قيمة القوة (q) التي تؤثر على السقف وعلى الجدار</t>
  </si>
  <si>
    <t xml:space="preserve">ملاحظة مهمة: قد تكون التربة عندك غير معروضة هنا, لذلك ياصديقي يجب ان تشغل مخك </t>
  </si>
  <si>
    <t xml:space="preserve">ويمكنك ان تختار قيمة معاملات هذه التربة حسب تقديرك. مثلا: اذا حفرت المنشأة في تربة صخرية </t>
  </si>
  <si>
    <t>قساوة بقليل فخفض او زد قيمة هذه المعاملات بعد المقارنة العقلية مع انواع التربة المدرجة في الجداول</t>
  </si>
  <si>
    <t xml:space="preserve">فهل هذه التربة قاسية مثل البيتون العادي اذا كان كذلك استخدم معاملات البيتون العادي واذا كانت اقل </t>
  </si>
  <si>
    <t>اي هل تخفض ام تزيد وكم تخفض او تزيد</t>
  </si>
  <si>
    <t>لذلك خذها واحسب العزم الاعظمي للجدار والسقف  وادخله في المربعات الحمراء حسب الوحدة المبينة</t>
  </si>
  <si>
    <r>
      <rPr>
        <b/>
        <sz val="12"/>
        <color theme="1"/>
        <rFont val="Times New Roman"/>
        <family val="1"/>
      </rPr>
      <t>القنبلة المستخدمة</t>
    </r>
    <r>
      <rPr>
        <sz val="12"/>
        <color theme="1"/>
        <rFont val="Times New Roman"/>
        <family val="2"/>
      </rPr>
      <t xml:space="preserve">: ان هذه الدراسة تخص القنابل الخارقة التي تخرق مسافة معينة في بلاطة الحماية وتنفجر بعد زمن </t>
    </r>
  </si>
  <si>
    <t>النفق</t>
  </si>
  <si>
    <r>
      <t>R</t>
    </r>
    <r>
      <rPr>
        <sz val="12"/>
        <color theme="1"/>
        <rFont val="Times New Roman"/>
        <family val="1"/>
      </rPr>
      <t>̽</t>
    </r>
    <r>
      <rPr>
        <sz val="12"/>
        <color theme="1"/>
        <rFont val="Times New Roman"/>
        <family val="2"/>
      </rPr>
      <t xml:space="preserve"> = R</t>
    </r>
    <r>
      <rPr>
        <sz val="12"/>
        <color theme="1"/>
        <rFont val="Times New Roman"/>
        <family val="1"/>
      </rPr>
      <t>̽¯</t>
    </r>
    <r>
      <rPr>
        <sz val="12"/>
        <color theme="1"/>
        <rFont val="Times New Roman"/>
        <family val="2"/>
      </rPr>
      <t xml:space="preserve"> *(C</t>
    </r>
    <r>
      <rPr>
        <sz val="12"/>
        <color theme="1"/>
        <rFont val="Times New Roman"/>
        <family val="1"/>
      </rPr>
      <t>эф</t>
    </r>
    <r>
      <rPr>
        <sz val="12"/>
        <color theme="1"/>
        <rFont val="Times New Roman"/>
        <family val="2"/>
      </rPr>
      <t>)^</t>
    </r>
    <r>
      <rPr>
        <sz val="9"/>
        <color theme="1"/>
        <rFont val="Times New Roman"/>
        <family val="1"/>
      </rPr>
      <t>0.333</t>
    </r>
  </si>
  <si>
    <r>
      <t>ц</t>
    </r>
    <r>
      <rPr>
        <sz val="12"/>
        <color theme="1"/>
        <rFont val="Times New Roman"/>
        <family val="2"/>
      </rPr>
      <t xml:space="preserve"> = 0.5*lk*cos</t>
    </r>
    <r>
      <rPr>
        <sz val="12"/>
        <color theme="1"/>
        <rFont val="Times New Roman"/>
        <family val="1"/>
      </rPr>
      <t>α</t>
    </r>
  </si>
  <si>
    <r>
      <t>h</t>
    </r>
    <r>
      <rPr>
        <sz val="12"/>
        <color theme="1"/>
        <rFont val="Times New Roman"/>
        <family val="1"/>
      </rPr>
      <t>з¯</t>
    </r>
    <r>
      <rPr>
        <sz val="12"/>
        <color theme="1"/>
        <rFont val="Times New Roman"/>
        <family val="2"/>
      </rPr>
      <t xml:space="preserve"> =h</t>
    </r>
    <r>
      <rPr>
        <sz val="12"/>
        <color theme="1"/>
        <rFont val="Times New Roman"/>
        <family val="1"/>
      </rPr>
      <t>з/(Cэф)^</t>
    </r>
    <r>
      <rPr>
        <sz val="9"/>
        <color theme="1"/>
        <rFont val="Times New Roman"/>
        <family val="1"/>
      </rPr>
      <t>0.333</t>
    </r>
  </si>
  <si>
    <r>
      <t>hз =hnp -</t>
    </r>
    <r>
      <rPr>
        <sz val="12"/>
        <color theme="1"/>
        <rFont val="Times New Roman"/>
        <family val="1"/>
      </rPr>
      <t>ц</t>
    </r>
  </si>
  <si>
    <t xml:space="preserve">تحقيق الشرط </t>
  </si>
  <si>
    <r>
      <t>R</t>
    </r>
    <r>
      <rPr>
        <sz val="12"/>
        <color theme="1"/>
        <rFont val="Times New Roman"/>
        <family val="1"/>
      </rPr>
      <t>̽</t>
    </r>
    <r>
      <rPr>
        <sz val="12"/>
        <color theme="1"/>
        <rFont val="Times New Roman"/>
        <family val="2"/>
      </rPr>
      <t xml:space="preserve"> &gt; Zp</t>
    </r>
  </si>
  <si>
    <r>
      <t>λ2 = 2.8*{(d)^</t>
    </r>
    <r>
      <rPr>
        <sz val="10"/>
        <color theme="1"/>
        <rFont val="Times New Roman"/>
        <family val="1"/>
      </rPr>
      <t>0.333</t>
    </r>
    <r>
      <rPr>
        <sz val="12"/>
        <color theme="1"/>
        <rFont val="Times New Roman"/>
        <family val="2"/>
      </rPr>
      <t>}-1.3*{(d)^</t>
    </r>
    <r>
      <rPr>
        <sz val="10"/>
        <color theme="1"/>
        <rFont val="Times New Roman"/>
        <family val="1"/>
      </rPr>
      <t>0.5</t>
    </r>
    <r>
      <rPr>
        <sz val="12"/>
        <color theme="1"/>
        <rFont val="Times New Roman"/>
        <family val="2"/>
      </rPr>
      <t>}</t>
    </r>
  </si>
  <si>
    <t>lk</t>
  </si>
  <si>
    <t>knp.г</t>
  </si>
  <si>
    <t>d</t>
  </si>
  <si>
    <t>lгч/d</t>
  </si>
  <si>
    <t>kp.г</t>
  </si>
  <si>
    <r>
      <rPr>
        <b/>
        <sz val="14"/>
        <color theme="1"/>
        <rFont val="Times New Roman"/>
        <family val="1"/>
      </rPr>
      <t>h</t>
    </r>
    <r>
      <rPr>
        <sz val="10"/>
        <color theme="1"/>
        <rFont val="Times New Roman"/>
        <family val="1"/>
      </rPr>
      <t>пр</t>
    </r>
    <r>
      <rPr>
        <sz val="12"/>
        <color theme="1"/>
        <rFont val="Times New Roman"/>
        <family val="2"/>
      </rPr>
      <t xml:space="preserve"> = </t>
    </r>
    <r>
      <rPr>
        <sz val="14"/>
        <color theme="1"/>
        <rFont val="Times New Roman"/>
        <family val="1"/>
      </rPr>
      <t>λ</t>
    </r>
    <r>
      <rPr>
        <sz val="9"/>
        <color theme="1"/>
        <rFont val="Times New Roman"/>
        <family val="1"/>
      </rPr>
      <t>1</t>
    </r>
    <r>
      <rPr>
        <sz val="12"/>
        <color theme="1"/>
        <rFont val="Times New Roman"/>
        <family val="2"/>
      </rPr>
      <t>*</t>
    </r>
    <r>
      <rPr>
        <sz val="14"/>
        <color theme="1"/>
        <rFont val="Times New Roman"/>
        <family val="1"/>
      </rPr>
      <t>λ</t>
    </r>
    <r>
      <rPr>
        <sz val="9"/>
        <color theme="1"/>
        <rFont val="Times New Roman"/>
        <family val="1"/>
      </rPr>
      <t>2</t>
    </r>
    <r>
      <rPr>
        <sz val="12"/>
        <color theme="1"/>
        <rFont val="Times New Roman"/>
        <family val="2"/>
      </rPr>
      <t>*</t>
    </r>
    <r>
      <rPr>
        <sz val="14"/>
        <color theme="1"/>
        <rFont val="Times New Roman"/>
        <family val="1"/>
      </rPr>
      <t>k</t>
    </r>
    <r>
      <rPr>
        <sz val="10"/>
        <color theme="1"/>
        <rFont val="Times New Roman"/>
        <family val="1"/>
      </rPr>
      <t>пр.г*</t>
    </r>
    <r>
      <rPr>
        <sz val="14"/>
        <color theme="1"/>
        <rFont val="Times New Roman"/>
        <family val="1"/>
      </rPr>
      <t>p/(d)^</t>
    </r>
    <r>
      <rPr>
        <sz val="11"/>
        <color theme="1"/>
        <rFont val="Times New Roman"/>
        <family val="1"/>
      </rPr>
      <t>2</t>
    </r>
    <r>
      <rPr>
        <sz val="14"/>
        <color theme="1"/>
        <rFont val="Times New Roman"/>
        <family val="1"/>
      </rPr>
      <t>*</t>
    </r>
    <r>
      <rPr>
        <sz val="12"/>
        <color theme="1"/>
        <rFont val="Times New Roman"/>
        <family val="1"/>
      </rPr>
      <t>V*COSα</t>
    </r>
    <r>
      <rPr>
        <sz val="14"/>
        <color theme="1"/>
        <rFont val="Times New Roman"/>
        <family val="1"/>
      </rPr>
      <t>, m</t>
    </r>
  </si>
  <si>
    <t xml:space="preserve"> R̽¯</t>
  </si>
  <si>
    <r>
      <t>C</t>
    </r>
    <r>
      <rPr>
        <sz val="12"/>
        <color theme="1"/>
        <rFont val="Times New Roman"/>
        <family val="1"/>
      </rPr>
      <t>эф</t>
    </r>
    <r>
      <rPr>
        <sz val="12"/>
        <color theme="1"/>
        <rFont val="Times New Roman"/>
        <family val="2"/>
      </rPr>
      <t xml:space="preserve"> = K1*0.95*C</t>
    </r>
  </si>
  <si>
    <t>K1</t>
  </si>
  <si>
    <t xml:space="preserve">مادة التربة </t>
  </si>
  <si>
    <t>جدول رقم 4</t>
  </si>
  <si>
    <t>جدول 4 يبين  معاملات خاصة بطبيعة سلوك الوسط الذي تخترقه القنبلة او تنفجر فيه</t>
  </si>
  <si>
    <t>بعد حساب (¯h) سيظهر لك قيمته باللون الاخضر وانت اختر قيمة (R̽¯) المقابلة من الجدول ادناه وضعها في المربع الاحمر</t>
  </si>
  <si>
    <t>النتائج</t>
  </si>
  <si>
    <t>β</t>
  </si>
  <si>
    <r>
      <t xml:space="preserve">زاوية ميول الجبل, </t>
    </r>
    <r>
      <rPr>
        <b/>
        <sz val="9"/>
        <color theme="1"/>
        <rFont val="Times New Roman"/>
        <family val="1"/>
      </rPr>
      <t>درجة</t>
    </r>
  </si>
  <si>
    <t>سيدي الكريم: هدف هذا البرنامج البسيط هو حساب السماكة فوق النفق اول طول النفق من بداية حد القطع والذي يقع ضمن الحمل الديناميكي لانفجار قنابل الطائرات وهذا يتعلق بنوع التربة ونوع ومواصفات القنبلة وميول الجبل</t>
  </si>
  <si>
    <t>H=</t>
  </si>
  <si>
    <t>متر</t>
  </si>
  <si>
    <t>طول المدخل من حد القطع وحتى نهاية منطقة الحمل الديناميكي.....................................</t>
  </si>
  <si>
    <t>الارتفاع من سقف النفق حتى نقطة سطح الجبل والتي عندها تنتهي منطقة الحمل الديناميكي</t>
  </si>
  <si>
    <t>صخر متوسط القساوة</t>
  </si>
  <si>
    <t>0.75 - 1.1</t>
  </si>
  <si>
    <t>نفق</t>
  </si>
  <si>
    <t>L</t>
  </si>
  <si>
    <t>منطقة الحمل الديناميكي</t>
  </si>
  <si>
    <t>يجب ان تعلم ياصديقي المهندس ان كلمة منطقة الحمل الديناميكي ليست دقيقة لأنه وعلى اعماق اكبر من (H) سيكون هناك حمولة ديناميكية نتيجة انفجار القنبلة(ولهذه الاعماق حسابات اخرى غير التي اجريناها هنا)</t>
  </si>
  <si>
    <t>ولكن القصد بمنطقة الحمل الديناميكي هنا هي المنطقة التي تتأثر بشكل مباشر بانفجار القنبلة ولها حسابات اخرى غير حسابات المنطقة التي تليها</t>
  </si>
  <si>
    <t>L=</t>
  </si>
  <si>
    <r>
      <t>H =(R</t>
    </r>
    <r>
      <rPr>
        <sz val="12"/>
        <color theme="1"/>
        <rFont val="Times New Roman"/>
        <family val="1"/>
      </rPr>
      <t>̽</t>
    </r>
    <r>
      <rPr>
        <sz val="12"/>
        <color theme="1"/>
        <rFont val="Times New Roman"/>
        <family val="2"/>
      </rPr>
      <t xml:space="preserve"> +hpr -</t>
    </r>
    <r>
      <rPr>
        <sz val="12"/>
        <color theme="1"/>
        <rFont val="Times New Roman"/>
        <family val="1"/>
      </rPr>
      <t>ц)</t>
    </r>
  </si>
  <si>
    <r>
      <t>Zp = 1.5* kp.</t>
    </r>
    <r>
      <rPr>
        <sz val="12"/>
        <color theme="1"/>
        <rFont val="Times New Roman"/>
        <family val="1"/>
      </rPr>
      <t>г</t>
    </r>
    <r>
      <rPr>
        <sz val="12"/>
        <color theme="1"/>
        <rFont val="Times New Roman"/>
        <family val="2"/>
      </rPr>
      <t>*(C</t>
    </r>
    <r>
      <rPr>
        <sz val="12"/>
        <color theme="1"/>
        <rFont val="Times New Roman"/>
        <family val="1"/>
      </rPr>
      <t>эф)^0.333</t>
    </r>
  </si>
  <si>
    <t>L = H/tanβ</t>
  </si>
  <si>
    <t xml:space="preserve">                                                                   للتربة الصخرية</t>
  </si>
  <si>
    <t>للبيتون</t>
  </si>
  <si>
    <t>للتربة</t>
  </si>
  <si>
    <t>المكافئة(تربة مع بيتون)</t>
  </si>
  <si>
    <t>Zp ekv = Zp</t>
  </si>
  <si>
    <t>الفرق بين عمق توضع النفق و عمق الاختراق</t>
  </si>
  <si>
    <t>Z-hnp=Y =</t>
  </si>
  <si>
    <t>سماكة البيتون بالنسبة للتدمير(اي ان التدمير لسماكة المقطع مسموحة دون نفوذ قوة التفجير للداخل)</t>
  </si>
  <si>
    <t xml:space="preserve"> hb=(Zp -Y)*(Kp beton/Kp rock)</t>
  </si>
  <si>
    <t>سماكة البيتون بالنسبة للتصدع(اي ان التصدع المقطع مسموح دون حصول تدميره)</t>
  </si>
  <si>
    <t>اذا كانت النتيجة سالبة فهذا يعني ان المنشأة خارج نطاق قطر التدمير</t>
  </si>
  <si>
    <t>اذا كانت النتيجة سالبة فهذا يعني ان المنشأة خارج نطاق قطر التصدع</t>
  </si>
  <si>
    <r>
      <t>Z</t>
    </r>
    <r>
      <rPr>
        <sz val="10"/>
        <color theme="1"/>
        <rFont val="Times New Roman"/>
        <family val="1"/>
      </rPr>
      <t>ot. Rock</t>
    </r>
    <r>
      <rPr>
        <sz val="12"/>
        <color theme="1"/>
        <rFont val="Times New Roman"/>
        <family val="2"/>
      </rPr>
      <t xml:space="preserve"> = </t>
    </r>
  </si>
  <si>
    <r>
      <t xml:space="preserve"> hb=(Z</t>
    </r>
    <r>
      <rPr>
        <sz val="8"/>
        <color theme="1"/>
        <rFont val="Times New Roman"/>
        <family val="1"/>
      </rPr>
      <t>ot. rock</t>
    </r>
    <r>
      <rPr>
        <sz val="12"/>
        <color theme="1"/>
        <rFont val="Times New Roman"/>
        <family val="2"/>
      </rPr>
      <t xml:space="preserve"> -Y)*(Kot beton/Kot rock)</t>
    </r>
  </si>
  <si>
    <r>
      <t>1.5* kot.</t>
    </r>
    <r>
      <rPr>
        <sz val="12"/>
        <color theme="1"/>
        <rFont val="Times New Roman"/>
        <family val="1"/>
      </rPr>
      <t>г</t>
    </r>
    <r>
      <rPr>
        <sz val="12"/>
        <color theme="1"/>
        <rFont val="Times New Roman"/>
        <family val="2"/>
      </rPr>
      <t>*(C</t>
    </r>
    <r>
      <rPr>
        <sz val="12"/>
        <color theme="1"/>
        <rFont val="Times New Roman"/>
        <family val="1"/>
      </rPr>
      <t xml:space="preserve">эф)^0.333                                             </t>
    </r>
  </si>
  <si>
    <t>عمق توضع المنشأة</t>
  </si>
  <si>
    <t>Z=</t>
  </si>
  <si>
    <t>m</t>
  </si>
  <si>
    <t>Kot rock</t>
  </si>
  <si>
    <t>Kot beton</t>
  </si>
  <si>
    <t xml:space="preserve"> هو        :m     </t>
  </si>
  <si>
    <t>سماكة البيتون عند عمق توضع مختار m</t>
  </si>
  <si>
    <r>
      <rPr>
        <b/>
        <sz val="16"/>
        <color theme="1"/>
        <rFont val="Times New Roman"/>
        <family val="1"/>
      </rPr>
      <t>h</t>
    </r>
    <r>
      <rPr>
        <b/>
        <sz val="10"/>
        <color theme="1"/>
        <rFont val="Times New Roman"/>
        <family val="1"/>
      </rPr>
      <t>b</t>
    </r>
    <r>
      <rPr>
        <b/>
        <sz val="12"/>
        <color theme="1"/>
        <rFont val="Times New Roman"/>
        <family val="1"/>
      </rPr>
      <t xml:space="preserve"> =</t>
    </r>
  </si>
  <si>
    <t>بالنسبة للسماح بتدمير المقطع البيتوني دون نفاذ التفجير الى الداخل</t>
  </si>
  <si>
    <t>ملاحظة مهمة:</t>
  </si>
  <si>
    <r>
      <t>ا</t>
    </r>
    <r>
      <rPr>
        <b/>
        <sz val="12"/>
        <color rgb="FFFF0000"/>
        <rFont val="Times New Roman"/>
        <family val="1"/>
      </rPr>
      <t xml:space="preserve">ذا كانت سماكة البيتون الناتج سالبة فهذا  يعني ان المقطع خارج منطقة التدمير او التصدع </t>
    </r>
  </si>
  <si>
    <t>عمق اختراق القنبلة في الصخر..................................................................................................</t>
  </si>
  <si>
    <r>
      <rPr>
        <b/>
        <sz val="14"/>
        <rFont val="Times New Roman"/>
        <family val="1"/>
      </rPr>
      <t>h</t>
    </r>
    <r>
      <rPr>
        <b/>
        <sz val="12"/>
        <rFont val="Times New Roman"/>
        <family val="1"/>
      </rPr>
      <t>np=</t>
    </r>
  </si>
  <si>
    <t>بالنسبة للسماح بتصدع المقطع البيتوني دون السماح بتعرضه للتدمير الكامل</t>
  </si>
</sst>
</file>

<file path=xl/styles.xml><?xml version="1.0" encoding="utf-8"?>
<styleSheet xmlns="http://schemas.openxmlformats.org/spreadsheetml/2006/main">
  <fonts count="34">
    <font>
      <sz val="12"/>
      <color theme="1"/>
      <name val="Times New Roman"/>
      <family val="2"/>
    </font>
    <font>
      <sz val="12"/>
      <color theme="1"/>
      <name val="Times New Roman"/>
      <family val="1"/>
    </font>
    <font>
      <sz val="10"/>
      <color theme="1"/>
      <name val="Times New Roman"/>
      <family val="1"/>
    </font>
    <font>
      <sz val="16"/>
      <color theme="1"/>
      <name val="Times New Roman"/>
      <family val="1"/>
    </font>
    <font>
      <sz val="9"/>
      <color theme="1"/>
      <name val="Times New Roman"/>
      <family val="1"/>
    </font>
    <font>
      <b/>
      <sz val="10"/>
      <color theme="1"/>
      <name val="Times New Roman"/>
      <family val="1"/>
    </font>
    <font>
      <b/>
      <sz val="12"/>
      <color theme="1"/>
      <name val="Times New Roman"/>
      <family val="1"/>
    </font>
    <font>
      <b/>
      <sz val="16"/>
      <color theme="1"/>
      <name val="Times New Roman"/>
      <family val="1"/>
    </font>
    <font>
      <sz val="10"/>
      <color theme="1"/>
      <name val="Times New Roman"/>
      <family val="2"/>
    </font>
    <font>
      <b/>
      <sz val="9"/>
      <color theme="1"/>
      <name val="Times New Roman"/>
      <family val="1"/>
    </font>
    <font>
      <b/>
      <sz val="16"/>
      <color rgb="FFFF0000"/>
      <name val="Times New Roman"/>
      <family val="1"/>
    </font>
    <font>
      <b/>
      <sz val="11"/>
      <color theme="1"/>
      <name val="Times New Roman"/>
      <family val="1"/>
    </font>
    <font>
      <b/>
      <sz val="14"/>
      <color theme="1"/>
      <name val="Times New Roman"/>
      <family val="1"/>
    </font>
    <font>
      <sz val="11"/>
      <color theme="1"/>
      <name val="Times New Roman"/>
      <family val="1"/>
    </font>
    <font>
      <b/>
      <sz val="8"/>
      <color theme="1"/>
      <name val="Times New Roman"/>
      <family val="1"/>
    </font>
    <font>
      <sz val="14"/>
      <color theme="1"/>
      <name val="Times New Roman"/>
      <family val="1"/>
    </font>
    <font>
      <b/>
      <sz val="9"/>
      <name val="Times New Roman"/>
      <family val="2"/>
    </font>
    <font>
      <b/>
      <sz val="12"/>
      <name val="Times New Roman"/>
      <family val="1"/>
    </font>
    <font>
      <b/>
      <sz val="10"/>
      <color rgb="FFFF0000"/>
      <name val="Times New Roman"/>
      <family val="1"/>
    </font>
    <font>
      <sz val="12"/>
      <color rgb="FFFF0000"/>
      <name val="Times New Roman"/>
      <family val="2"/>
    </font>
    <font>
      <b/>
      <sz val="12"/>
      <color rgb="FFFF0000"/>
      <name val="Times New Roman"/>
      <family val="1"/>
    </font>
    <font>
      <sz val="12"/>
      <color rgb="FFFF0000"/>
      <name val="Times New Roman"/>
      <family val="1"/>
    </font>
    <font>
      <sz val="16"/>
      <color rgb="FFFF0000"/>
      <name val="Times New Roman"/>
      <family val="1"/>
    </font>
    <font>
      <b/>
      <sz val="14"/>
      <color rgb="FFFF0000"/>
      <name val="Times New Roman"/>
      <family val="1"/>
    </font>
    <font>
      <sz val="12"/>
      <color rgb="FFFFFF00"/>
      <name val="Times New Roman"/>
      <family val="2"/>
    </font>
    <font>
      <b/>
      <sz val="12"/>
      <color rgb="FFFFFF00"/>
      <name val="Times New Roman"/>
      <family val="2"/>
    </font>
    <font>
      <b/>
      <sz val="11"/>
      <color rgb="FFFFFF00"/>
      <name val="Times New Roman"/>
      <family val="1"/>
    </font>
    <font>
      <b/>
      <sz val="14"/>
      <color rgb="FF000000"/>
      <name val="Times New Roman"/>
      <family val="1"/>
    </font>
    <font>
      <sz val="12"/>
      <name val="Times New Roman"/>
      <family val="2"/>
    </font>
    <font>
      <b/>
      <sz val="10"/>
      <name val="Times New Roman"/>
      <family val="1"/>
    </font>
    <font>
      <b/>
      <sz val="11"/>
      <name val="Times New Roman"/>
      <family val="1"/>
    </font>
    <font>
      <sz val="8"/>
      <color theme="1"/>
      <name val="Times New Roman"/>
      <family val="1"/>
    </font>
    <font>
      <b/>
      <sz val="14"/>
      <name val="Times New Roman"/>
      <family val="1"/>
    </font>
    <font>
      <b/>
      <sz val="12"/>
      <color rgb="FFFFFF00"/>
      <name val="Times New Roman"/>
      <family val="1"/>
    </font>
  </fonts>
  <fills count="3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1" tint="0.14999847407452621"/>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1"/>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0" tint="-0.499984740745262"/>
        <bgColor indexed="64"/>
      </patternFill>
    </fill>
    <fill>
      <patternFill patternType="solid">
        <fgColor rgb="FF00B050"/>
        <bgColor indexed="64"/>
      </patternFill>
    </fill>
    <fill>
      <patternFill patternType="solid">
        <fgColor theme="6"/>
        <bgColor indexed="64"/>
      </patternFill>
    </fill>
    <fill>
      <patternFill patternType="solid">
        <fgColor theme="1" tint="4.9989318521683403E-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theme="2" tint="-0.249977111117893"/>
        <bgColor indexed="64"/>
      </patternFill>
    </fill>
    <fill>
      <patternFill patternType="solid">
        <fgColor theme="3" tint="-0.499984740745262"/>
        <bgColor indexed="64"/>
      </patternFill>
    </fill>
    <fill>
      <patternFill patternType="solid">
        <fgColor theme="6" tint="0.59999389629810485"/>
        <bgColor indexed="64"/>
      </patternFill>
    </fill>
    <fill>
      <patternFill patternType="solid">
        <fgColor theme="6" tint="0.39997558519241921"/>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bottom/>
      <diagonal/>
    </border>
    <border>
      <left/>
      <right/>
      <top style="medium">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thick">
        <color indexed="64"/>
      </left>
      <right style="thin">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ck">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top/>
      <bottom style="thin">
        <color indexed="64"/>
      </bottom>
      <diagonal/>
    </border>
    <border>
      <left/>
      <right style="thick">
        <color indexed="64"/>
      </right>
      <top/>
      <bottom style="thin">
        <color indexed="64"/>
      </bottom>
      <diagonal/>
    </border>
    <border>
      <left style="thin">
        <color indexed="64"/>
      </left>
      <right/>
      <top style="thin">
        <color indexed="64"/>
      </top>
      <bottom/>
      <diagonal/>
    </border>
    <border>
      <left/>
      <right style="thick">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ck">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right/>
      <top style="thick">
        <color indexed="64"/>
      </top>
      <bottom/>
      <diagonal/>
    </border>
    <border>
      <left/>
      <right style="medium">
        <color indexed="64"/>
      </right>
      <top style="thick">
        <color indexed="64"/>
      </top>
      <bottom/>
      <diagonal/>
    </border>
  </borders>
  <cellStyleXfs count="1">
    <xf numFmtId="0" fontId="0" fillId="0" borderId="0"/>
  </cellStyleXfs>
  <cellXfs count="654">
    <xf numFmtId="0" fontId="0" fillId="0" borderId="0" xfId="0"/>
    <xf numFmtId="0" fontId="3" fillId="0" borderId="0" xfId="0" applyFont="1"/>
    <xf numFmtId="0" fontId="0" fillId="2" borderId="1" xfId="0" applyFill="1" applyBorder="1"/>
    <xf numFmtId="0" fontId="0" fillId="3" borderId="3" xfId="0" applyFill="1" applyBorder="1" applyAlignment="1">
      <alignment horizontal="center"/>
    </xf>
    <xf numFmtId="0" fontId="5" fillId="3" borderId="7" xfId="0" applyFont="1" applyFill="1" applyBorder="1" applyAlignment="1">
      <alignment horizontal="center" vertical="center"/>
    </xf>
    <xf numFmtId="0" fontId="0" fillId="3" borderId="1" xfId="0" applyFill="1" applyBorder="1" applyAlignment="1">
      <alignment horizontal="center"/>
    </xf>
    <xf numFmtId="0" fontId="5" fillId="3" borderId="8" xfId="0" applyFont="1" applyFill="1" applyBorder="1" applyAlignment="1">
      <alignment horizontal="center" vertical="center"/>
    </xf>
    <xf numFmtId="0" fontId="3" fillId="3" borderId="4" xfId="0" applyFont="1" applyFill="1" applyBorder="1" applyAlignment="1">
      <alignment horizontal="center"/>
    </xf>
    <xf numFmtId="0" fontId="0" fillId="0" borderId="0" xfId="0" applyAlignment="1">
      <alignment horizontal="center"/>
    </xf>
    <xf numFmtId="0" fontId="0" fillId="2" borderId="11" xfId="0" applyFill="1" applyBorder="1" applyAlignment="1">
      <alignment horizontal="center"/>
    </xf>
    <xf numFmtId="0" fontId="0" fillId="0" borderId="0" xfId="0" applyAlignment="1">
      <alignment horizontal="right"/>
    </xf>
    <xf numFmtId="0" fontId="1" fillId="0" borderId="0" xfId="0" applyFont="1" applyAlignment="1">
      <alignment horizontal="left"/>
    </xf>
    <xf numFmtId="0" fontId="0" fillId="2" borderId="12" xfId="0" applyFill="1" applyBorder="1" applyAlignment="1">
      <alignment horizontal="center"/>
    </xf>
    <xf numFmtId="16" fontId="0" fillId="0" borderId="0" xfId="0" applyNumberFormat="1"/>
    <xf numFmtId="11" fontId="0" fillId="0" borderId="0" xfId="0" applyNumberFormat="1" applyAlignment="1">
      <alignment readingOrder="2"/>
    </xf>
    <xf numFmtId="0" fontId="0" fillId="5" borderId="0" xfId="0" applyFill="1"/>
    <xf numFmtId="0" fontId="8" fillId="6" borderId="0" xfId="0" applyFont="1" applyFill="1"/>
    <xf numFmtId="0" fontId="8" fillId="6" borderId="0" xfId="0" applyFont="1" applyFill="1" applyAlignment="1"/>
    <xf numFmtId="0" fontId="5" fillId="6" borderId="0" xfId="0" applyFont="1" applyFill="1" applyAlignment="1"/>
    <xf numFmtId="0" fontId="0" fillId="6" borderId="0" xfId="0" applyFill="1"/>
    <xf numFmtId="0" fontId="6" fillId="0" borderId="0" xfId="0" applyFont="1" applyAlignment="1">
      <alignment horizontal="center"/>
    </xf>
    <xf numFmtId="0" fontId="0" fillId="4" borderId="12" xfId="0" applyFill="1" applyBorder="1" applyAlignment="1">
      <alignment horizontal="center"/>
    </xf>
    <xf numFmtId="0" fontId="6" fillId="4" borderId="12" xfId="0" applyFont="1" applyFill="1" applyBorder="1" applyAlignment="1">
      <alignment horizontal="center"/>
    </xf>
    <xf numFmtId="0" fontId="0" fillId="2" borderId="12" xfId="0" applyFill="1" applyBorder="1"/>
    <xf numFmtId="0" fontId="0" fillId="7" borderId="0" xfId="0" applyFill="1"/>
    <xf numFmtId="0" fontId="6" fillId="2" borderId="12" xfId="0" applyFont="1" applyFill="1" applyBorder="1" applyAlignment="1">
      <alignment horizontal="center"/>
    </xf>
    <xf numFmtId="0" fontId="6" fillId="4" borderId="12" xfId="0" applyFont="1" applyFill="1" applyBorder="1"/>
    <xf numFmtId="0" fontId="1" fillId="4" borderId="12" xfId="0" applyFont="1" applyFill="1" applyBorder="1"/>
    <xf numFmtId="0" fontId="6" fillId="9" borderId="0" xfId="0" applyFont="1" applyFill="1"/>
    <xf numFmtId="0" fontId="0" fillId="10" borderId="0" xfId="0" applyFill="1"/>
    <xf numFmtId="0" fontId="0" fillId="10" borderId="1" xfId="0" applyFill="1" applyBorder="1"/>
    <xf numFmtId="0" fontId="1" fillId="10" borderId="1" xfId="0" applyFont="1" applyFill="1" applyBorder="1" applyAlignment="1"/>
    <xf numFmtId="0" fontId="0" fillId="10" borderId="1" xfId="0" applyFill="1" applyBorder="1" applyAlignment="1"/>
    <xf numFmtId="0" fontId="1" fillId="10" borderId="1" xfId="0" applyFont="1" applyFill="1" applyBorder="1"/>
    <xf numFmtId="0" fontId="0" fillId="10" borderId="1" xfId="0" applyFill="1" applyBorder="1" applyAlignment="1">
      <alignment horizontal="left"/>
    </xf>
    <xf numFmtId="0" fontId="0" fillId="10" borderId="18" xfId="0" applyFill="1" applyBorder="1"/>
    <xf numFmtId="0" fontId="0" fillId="8" borderId="1" xfId="0" applyFill="1" applyBorder="1"/>
    <xf numFmtId="0" fontId="0" fillId="8" borderId="1" xfId="0" applyFill="1" applyBorder="1" applyAlignment="1">
      <alignment horizontal="center"/>
    </xf>
    <xf numFmtId="0" fontId="1" fillId="8" borderId="1" xfId="0" applyFont="1" applyFill="1" applyBorder="1" applyAlignment="1">
      <alignment horizontal="center"/>
    </xf>
    <xf numFmtId="0" fontId="0" fillId="6" borderId="1" xfId="0" applyFill="1" applyBorder="1"/>
    <xf numFmtId="0" fontId="0" fillId="6" borderId="1" xfId="0" applyFill="1" applyBorder="1" applyAlignment="1">
      <alignment horizontal="center"/>
    </xf>
    <xf numFmtId="0" fontId="6" fillId="0" borderId="1" xfId="0" applyFont="1" applyBorder="1" applyAlignment="1">
      <alignment horizontal="center"/>
    </xf>
    <xf numFmtId="0" fontId="6" fillId="0" borderId="18" xfId="0" applyFont="1" applyBorder="1" applyAlignment="1">
      <alignment horizontal="center"/>
    </xf>
    <xf numFmtId="0" fontId="0" fillId="10" borderId="1" xfId="0" applyFill="1" applyBorder="1" applyAlignment="1">
      <alignment horizontal="center"/>
    </xf>
    <xf numFmtId="0" fontId="6" fillId="2" borderId="12" xfId="0" applyFont="1" applyFill="1" applyBorder="1"/>
    <xf numFmtId="0" fontId="0" fillId="11" borderId="0" xfId="0" applyFill="1"/>
    <xf numFmtId="0" fontId="0" fillId="0" borderId="0" xfId="0" applyAlignment="1">
      <alignment horizontal="center"/>
    </xf>
    <xf numFmtId="0" fontId="5" fillId="2" borderId="7" xfId="0" applyFont="1" applyFill="1" applyBorder="1" applyAlignment="1">
      <alignment horizontal="center"/>
    </xf>
    <xf numFmtId="0" fontId="5" fillId="2" borderId="8" xfId="0" applyFont="1" applyFill="1" applyBorder="1" applyAlignment="1">
      <alignment horizontal="center"/>
    </xf>
    <xf numFmtId="0" fontId="9" fillId="2" borderId="8" xfId="0" applyFont="1" applyFill="1" applyBorder="1" applyAlignment="1">
      <alignment horizontal="center"/>
    </xf>
    <xf numFmtId="0" fontId="5" fillId="2" borderId="19" xfId="0" applyFont="1" applyFill="1" applyBorder="1" applyAlignment="1">
      <alignment horizontal="center"/>
    </xf>
    <xf numFmtId="0" fontId="9" fillId="0" borderId="0" xfId="0" applyFont="1"/>
    <xf numFmtId="0" fontId="0" fillId="2" borderId="1" xfId="0" applyFill="1" applyBorder="1" applyAlignment="1">
      <alignment horizontal="center"/>
    </xf>
    <xf numFmtId="0" fontId="0" fillId="2" borderId="20" xfId="0" applyFill="1" applyBorder="1"/>
    <xf numFmtId="0" fontId="0" fillId="0" borderId="8" xfId="0" applyBorder="1" applyAlignment="1"/>
    <xf numFmtId="0" fontId="0" fillId="0" borderId="24" xfId="0" applyBorder="1" applyAlignment="1"/>
    <xf numFmtId="0" fontId="0" fillId="0" borderId="25" xfId="0" applyBorder="1" applyAlignment="1"/>
    <xf numFmtId="0" fontId="0" fillId="0" borderId="1" xfId="0" applyBorder="1"/>
    <xf numFmtId="0" fontId="0" fillId="0" borderId="0" xfId="0" applyAlignment="1"/>
    <xf numFmtId="0" fontId="0" fillId="0" borderId="1" xfId="0" applyBorder="1" applyAlignment="1"/>
    <xf numFmtId="0" fontId="0" fillId="0" borderId="8" xfId="0" applyBorder="1"/>
    <xf numFmtId="0" fontId="6" fillId="3" borderId="26" xfId="0" applyFont="1" applyFill="1" applyBorder="1" applyAlignment="1">
      <alignment horizontal="left"/>
    </xf>
    <xf numFmtId="0" fontId="0" fillId="0" borderId="0" xfId="0" applyAlignment="1">
      <alignment horizontal="center" vertical="center"/>
    </xf>
    <xf numFmtId="0" fontId="5" fillId="2" borderId="1" xfId="0" applyFont="1" applyFill="1" applyBorder="1" applyAlignment="1">
      <alignment horizontal="center"/>
    </xf>
    <xf numFmtId="0" fontId="5" fillId="2" borderId="6" xfId="0" applyFont="1" applyFill="1" applyBorder="1" applyAlignment="1">
      <alignment horizontal="center"/>
    </xf>
    <xf numFmtId="0" fontId="6" fillId="2" borderId="1" xfId="0" applyFont="1" applyFill="1" applyBorder="1" applyAlignment="1">
      <alignment horizontal="center"/>
    </xf>
    <xf numFmtId="0" fontId="6" fillId="2" borderId="3" xfId="0" applyFont="1" applyFill="1" applyBorder="1" applyAlignment="1">
      <alignment horizontal="center"/>
    </xf>
    <xf numFmtId="0" fontId="7" fillId="2" borderId="2" xfId="0" applyFont="1" applyFill="1" applyBorder="1" applyAlignment="1">
      <alignment horizontal="center"/>
    </xf>
    <xf numFmtId="0" fontId="6" fillId="2" borderId="4" xfId="0" applyFont="1" applyFill="1" applyBorder="1" applyAlignment="1">
      <alignment horizontal="center"/>
    </xf>
    <xf numFmtId="0" fontId="6" fillId="2" borderId="5" xfId="0" applyFont="1" applyFill="1" applyBorder="1" applyAlignment="1">
      <alignment horizontal="center"/>
    </xf>
    <xf numFmtId="0" fontId="6" fillId="12" borderId="1" xfId="0" applyFont="1" applyFill="1" applyBorder="1" applyAlignment="1">
      <alignment horizontal="center"/>
    </xf>
    <xf numFmtId="0" fontId="0" fillId="12" borderId="1" xfId="0" applyFill="1" applyBorder="1" applyAlignment="1">
      <alignment horizontal="center"/>
    </xf>
    <xf numFmtId="0" fontId="17" fillId="12" borderId="1" xfId="0" applyFont="1" applyFill="1" applyBorder="1" applyAlignment="1">
      <alignment horizontal="center"/>
    </xf>
    <xf numFmtId="0" fontId="0" fillId="12" borderId="1" xfId="0" applyFill="1" applyBorder="1"/>
    <xf numFmtId="0" fontId="0" fillId="0" borderId="18" xfId="0" applyBorder="1"/>
    <xf numFmtId="0" fontId="6" fillId="3" borderId="9" xfId="0" applyFont="1" applyFill="1" applyBorder="1" applyAlignment="1">
      <alignment horizontal="right"/>
    </xf>
    <xf numFmtId="0" fontId="0" fillId="2" borderId="10" xfId="0" applyFill="1" applyBorder="1"/>
    <xf numFmtId="0" fontId="0" fillId="0" borderId="11" xfId="0" applyBorder="1"/>
    <xf numFmtId="0" fontId="6" fillId="3" borderId="12" xfId="0" applyFont="1" applyFill="1" applyBorder="1" applyAlignment="1">
      <alignment horizontal="left"/>
    </xf>
    <xf numFmtId="0" fontId="5" fillId="0" borderId="0" xfId="0" applyFont="1"/>
    <xf numFmtId="0" fontId="18" fillId="0" borderId="0" xfId="0" applyFont="1"/>
    <xf numFmtId="0" fontId="6" fillId="0" borderId="0" xfId="0" applyFont="1"/>
    <xf numFmtId="0" fontId="5" fillId="0" borderId="32" xfId="0" applyFont="1" applyBorder="1"/>
    <xf numFmtId="0" fontId="5" fillId="0" borderId="12" xfId="0" applyFont="1" applyBorder="1"/>
    <xf numFmtId="0" fontId="12" fillId="3" borderId="9" xfId="0" applyFont="1" applyFill="1" applyBorder="1" applyAlignment="1">
      <alignment horizontal="right"/>
    </xf>
    <xf numFmtId="0" fontId="6" fillId="3" borderId="12" xfId="0" applyFont="1" applyFill="1" applyBorder="1"/>
    <xf numFmtId="0" fontId="0" fillId="0" borderId="0" xfId="0" applyAlignment="1">
      <alignment horizontal="right"/>
    </xf>
    <xf numFmtId="0" fontId="0" fillId="13" borderId="0" xfId="0" applyFill="1"/>
    <xf numFmtId="0" fontId="6" fillId="3" borderId="12" xfId="0" applyFont="1" applyFill="1" applyBorder="1" applyAlignment="1">
      <alignment horizontal="center"/>
    </xf>
    <xf numFmtId="0" fontId="0" fillId="0" borderId="12" xfId="0" applyBorder="1"/>
    <xf numFmtId="0" fontId="0" fillId="0" borderId="17" xfId="0" applyBorder="1"/>
    <xf numFmtId="0" fontId="0" fillId="0" borderId="1" xfId="0" applyBorder="1" applyAlignment="1">
      <alignment horizontal="right"/>
    </xf>
    <xf numFmtId="0" fontId="5" fillId="2" borderId="8" xfId="0" applyFont="1" applyFill="1" applyBorder="1" applyAlignment="1">
      <alignment horizontal="center"/>
    </xf>
    <xf numFmtId="0" fontId="5" fillId="2" borderId="1" xfId="0" applyFont="1" applyFill="1" applyBorder="1" applyAlignment="1">
      <alignment horizontal="center"/>
    </xf>
    <xf numFmtId="0" fontId="0" fillId="3" borderId="0" xfId="0" applyFill="1"/>
    <xf numFmtId="0" fontId="0" fillId="3" borderId="1" xfId="0" applyFill="1" applyBorder="1"/>
    <xf numFmtId="0" fontId="0" fillId="14" borderId="0" xfId="0" applyFill="1"/>
    <xf numFmtId="0" fontId="0" fillId="15" borderId="0" xfId="0" applyFill="1"/>
    <xf numFmtId="0" fontId="6" fillId="3" borderId="11" xfId="0" applyFont="1" applyFill="1" applyBorder="1" applyAlignment="1">
      <alignment horizontal="center"/>
    </xf>
    <xf numFmtId="0" fontId="6" fillId="2" borderId="18" xfId="0" applyFont="1" applyFill="1" applyBorder="1" applyAlignment="1">
      <alignment horizontal="center"/>
    </xf>
    <xf numFmtId="0" fontId="9" fillId="2" borderId="18" xfId="0" applyFont="1" applyFill="1" applyBorder="1" applyAlignment="1">
      <alignment horizontal="center"/>
    </xf>
    <xf numFmtId="0" fontId="1" fillId="0" borderId="1" xfId="0" applyFont="1" applyBorder="1" applyAlignment="1">
      <alignment horizontal="right"/>
    </xf>
    <xf numFmtId="0" fontId="12" fillId="0" borderId="0" xfId="0" applyFont="1"/>
    <xf numFmtId="0" fontId="0" fillId="2" borderId="33" xfId="0" applyFill="1" applyBorder="1" applyAlignment="1">
      <alignment horizontal="center"/>
    </xf>
    <xf numFmtId="0" fontId="14" fillId="2" borderId="33" xfId="0" applyFont="1" applyFill="1" applyBorder="1" applyAlignment="1">
      <alignment horizontal="center"/>
    </xf>
    <xf numFmtId="0" fontId="6" fillId="2" borderId="33" xfId="0" applyFont="1" applyFill="1" applyBorder="1" applyAlignment="1">
      <alignment horizontal="center"/>
    </xf>
    <xf numFmtId="0" fontId="6" fillId="3" borderId="11" xfId="0" applyFont="1" applyFill="1" applyBorder="1" applyAlignment="1">
      <alignment horizontal="center"/>
    </xf>
    <xf numFmtId="16" fontId="6" fillId="3" borderId="11" xfId="0" applyNumberFormat="1" applyFont="1" applyFill="1" applyBorder="1" applyAlignment="1">
      <alignment horizontal="center"/>
    </xf>
    <xf numFmtId="0" fontId="6" fillId="2" borderId="11" xfId="0" applyFont="1" applyFill="1" applyBorder="1" applyAlignment="1">
      <alignment horizontal="center"/>
    </xf>
    <xf numFmtId="0" fontId="6" fillId="2" borderId="26" xfId="0" applyFont="1" applyFill="1" applyBorder="1" applyAlignment="1">
      <alignment horizontal="center"/>
    </xf>
    <xf numFmtId="0" fontId="19" fillId="0" borderId="25" xfId="0" applyFont="1" applyBorder="1" applyAlignment="1"/>
    <xf numFmtId="0" fontId="19" fillId="0" borderId="24" xfId="0" applyFont="1" applyBorder="1" applyAlignment="1"/>
    <xf numFmtId="0" fontId="19" fillId="0" borderId="8" xfId="0" applyFont="1" applyBorder="1"/>
    <xf numFmtId="0" fontId="0" fillId="0" borderId="0" xfId="0"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6" fillId="3" borderId="9" xfId="0" applyFont="1" applyFill="1" applyBorder="1" applyAlignment="1">
      <alignment horizontal="center"/>
    </xf>
    <xf numFmtId="0" fontId="0" fillId="12" borderId="1" xfId="0" applyFill="1" applyBorder="1" applyAlignment="1">
      <alignment horizontal="center"/>
    </xf>
    <xf numFmtId="0" fontId="6" fillId="12" borderId="1" xfId="0" applyFont="1" applyFill="1" applyBorder="1" applyAlignment="1">
      <alignment horizontal="center"/>
    </xf>
    <xf numFmtId="0" fontId="0" fillId="2" borderId="1" xfId="0" applyFill="1" applyBorder="1" applyAlignment="1">
      <alignment horizontal="center"/>
    </xf>
    <xf numFmtId="0" fontId="0" fillId="0" borderId="0" xfId="0" applyAlignment="1">
      <alignment horizontal="right"/>
    </xf>
    <xf numFmtId="0" fontId="0" fillId="2" borderId="1" xfId="0" applyFill="1" applyBorder="1" applyAlignment="1">
      <alignment horizontal="center"/>
    </xf>
    <xf numFmtId="0" fontId="5" fillId="2" borderId="1" xfId="0" applyFont="1" applyFill="1" applyBorder="1" applyAlignment="1">
      <alignment horizontal="center"/>
    </xf>
    <xf numFmtId="0" fontId="0" fillId="0" borderId="18" xfId="0" applyBorder="1" applyAlignment="1">
      <alignment horizontal="center"/>
    </xf>
    <xf numFmtId="0" fontId="0" fillId="2" borderId="10" xfId="0" applyFill="1" applyBorder="1" applyAlignment="1">
      <alignment horizontal="center"/>
    </xf>
    <xf numFmtId="0" fontId="0" fillId="16" borderId="1" xfId="0" applyFill="1" applyBorder="1" applyAlignment="1">
      <alignment horizontal="center"/>
    </xf>
    <xf numFmtId="0" fontId="0" fillId="14" borderId="0" xfId="0" applyFill="1" applyAlignment="1">
      <alignment horizontal="center"/>
    </xf>
    <xf numFmtId="0" fontId="8" fillId="0" borderId="1" xfId="0" applyFont="1" applyBorder="1" applyAlignment="1">
      <alignment horizontal="center"/>
    </xf>
    <xf numFmtId="0" fontId="0" fillId="4" borderId="1" xfId="0" applyFill="1" applyBorder="1"/>
    <xf numFmtId="0" fontId="0" fillId="4" borderId="1" xfId="0" applyFill="1" applyBorder="1" applyAlignment="1">
      <alignment horizontal="center"/>
    </xf>
    <xf numFmtId="0" fontId="0" fillId="4" borderId="17" xfId="0" applyFill="1" applyBorder="1" applyAlignment="1">
      <alignment horizontal="center"/>
    </xf>
    <xf numFmtId="0" fontId="6" fillId="3" borderId="11" xfId="0" applyFont="1" applyFill="1" applyBorder="1" applyAlignment="1">
      <alignment horizontal="center"/>
    </xf>
    <xf numFmtId="0" fontId="0" fillId="3" borderId="0" xfId="0" applyFill="1"/>
    <xf numFmtId="0" fontId="6" fillId="12" borderId="1" xfId="0" applyFont="1" applyFill="1" applyBorder="1" applyAlignment="1">
      <alignment horizontal="center"/>
    </xf>
    <xf numFmtId="0" fontId="6" fillId="16" borderId="12" xfId="0" applyFont="1" applyFill="1" applyBorder="1"/>
    <xf numFmtId="0" fontId="6" fillId="3" borderId="26" xfId="0" applyFont="1" applyFill="1" applyBorder="1" applyAlignment="1">
      <alignment horizontal="center"/>
    </xf>
    <xf numFmtId="0" fontId="0" fillId="2" borderId="25" xfId="0" applyFill="1" applyBorder="1" applyAlignment="1">
      <alignment horizontal="center"/>
    </xf>
    <xf numFmtId="0" fontId="6" fillId="2" borderId="35" xfId="0" applyFont="1" applyFill="1" applyBorder="1" applyAlignment="1">
      <alignment horizontal="center"/>
    </xf>
    <xf numFmtId="0" fontId="5" fillId="2" borderId="8" xfId="0" applyFont="1" applyFill="1" applyBorder="1" applyAlignment="1">
      <alignment horizontal="center"/>
    </xf>
    <xf numFmtId="0" fontId="6" fillId="2" borderId="1" xfId="0" applyFont="1" applyFill="1" applyBorder="1" applyAlignment="1">
      <alignment horizontal="center"/>
    </xf>
    <xf numFmtId="0" fontId="0" fillId="17" borderId="0" xfId="0" applyFill="1"/>
    <xf numFmtId="0" fontId="1" fillId="0" borderId="0" xfId="0" applyFont="1" applyAlignment="1">
      <alignment horizontal="right"/>
    </xf>
    <xf numFmtId="0" fontId="0" fillId="0" borderId="1" xfId="0" applyFill="1" applyBorder="1"/>
    <xf numFmtId="0" fontId="0" fillId="0" borderId="0" xfId="0" applyFill="1"/>
    <xf numFmtId="0" fontId="0" fillId="2" borderId="8" xfId="0" applyFill="1" applyBorder="1" applyAlignment="1">
      <alignment horizontal="center"/>
    </xf>
    <xf numFmtId="0" fontId="6" fillId="3" borderId="9" xfId="0" applyFont="1" applyFill="1" applyBorder="1" applyAlignment="1">
      <alignment horizontal="center"/>
    </xf>
    <xf numFmtId="0" fontId="0" fillId="8" borderId="1" xfId="0" applyFill="1" applyBorder="1" applyAlignment="1">
      <alignment horizontal="center"/>
    </xf>
    <xf numFmtId="0" fontId="5" fillId="6" borderId="1" xfId="0" applyFont="1" applyFill="1" applyBorder="1" applyAlignment="1">
      <alignment horizontal="center"/>
    </xf>
    <xf numFmtId="0" fontId="9" fillId="3" borderId="8" xfId="0" applyFont="1" applyFill="1" applyBorder="1" applyAlignment="1">
      <alignment horizontal="center" vertical="center"/>
    </xf>
    <xf numFmtId="0" fontId="19" fillId="3" borderId="1" xfId="0" applyFont="1" applyFill="1" applyBorder="1"/>
    <xf numFmtId="0" fontId="20" fillId="3" borderId="11" xfId="0" applyFont="1" applyFill="1" applyBorder="1"/>
    <xf numFmtId="0" fontId="17" fillId="3" borderId="12" xfId="0" applyFont="1" applyFill="1" applyBorder="1"/>
    <xf numFmtId="0" fontId="19" fillId="0" borderId="1" xfId="0" applyFont="1" applyBorder="1"/>
    <xf numFmtId="0" fontId="0" fillId="0" borderId="10" xfId="0" applyBorder="1"/>
    <xf numFmtId="0" fontId="0" fillId="18" borderId="13" xfId="0" applyFill="1" applyBorder="1"/>
    <xf numFmtId="0" fontId="6" fillId="18" borderId="14" xfId="0" applyFont="1" applyFill="1" applyBorder="1"/>
    <xf numFmtId="0" fontId="6" fillId="18" borderId="15" xfId="0" applyFont="1" applyFill="1" applyBorder="1"/>
    <xf numFmtId="0" fontId="6" fillId="5" borderId="0" xfId="0" applyFont="1" applyFill="1"/>
    <xf numFmtId="0" fontId="5" fillId="0" borderId="1" xfId="0" applyFont="1" applyBorder="1" applyAlignment="1">
      <alignment horizontal="center"/>
    </xf>
    <xf numFmtId="0" fontId="11" fillId="0" borderId="1" xfId="0" applyFont="1" applyBorder="1" applyAlignment="1">
      <alignment horizontal="center"/>
    </xf>
    <xf numFmtId="0" fontId="11" fillId="0" borderId="25" xfId="0" applyFont="1" applyBorder="1" applyAlignment="1">
      <alignment horizontal="center"/>
    </xf>
    <xf numFmtId="0" fontId="11" fillId="15" borderId="1" xfId="0" applyFont="1" applyFill="1" applyBorder="1" applyAlignment="1">
      <alignment horizontal="center"/>
    </xf>
    <xf numFmtId="0" fontId="11" fillId="2" borderId="1" xfId="0" applyFont="1" applyFill="1" applyBorder="1" applyAlignment="1">
      <alignment horizontal="center"/>
    </xf>
    <xf numFmtId="0" fontId="5" fillId="0" borderId="3" xfId="0" applyFont="1" applyBorder="1" applyAlignment="1">
      <alignment horizontal="center"/>
    </xf>
    <xf numFmtId="0" fontId="5" fillId="2" borderId="3" xfId="0" applyFont="1" applyFill="1" applyBorder="1" applyAlignment="1">
      <alignment horizontal="center"/>
    </xf>
    <xf numFmtId="0" fontId="11" fillId="15" borderId="42" xfId="0" applyFont="1" applyFill="1" applyBorder="1" applyAlignment="1">
      <alignment horizontal="center"/>
    </xf>
    <xf numFmtId="0" fontId="5" fillId="0" borderId="6" xfId="0" applyFont="1" applyBorder="1" applyAlignment="1">
      <alignment horizontal="center"/>
    </xf>
    <xf numFmtId="0" fontId="11" fillId="2" borderId="6" xfId="0" applyFont="1" applyFill="1" applyBorder="1" applyAlignment="1">
      <alignment horizontal="center"/>
    </xf>
    <xf numFmtId="0" fontId="11" fillId="0" borderId="6" xfId="0" applyFont="1" applyBorder="1" applyAlignment="1">
      <alignment horizontal="center"/>
    </xf>
    <xf numFmtId="0" fontId="11" fillId="15" borderId="6" xfId="0" applyFont="1" applyFill="1" applyBorder="1" applyAlignment="1">
      <alignment horizontal="center"/>
    </xf>
    <xf numFmtId="0" fontId="11" fillId="15" borderId="43" xfId="0" applyFont="1" applyFill="1" applyBorder="1" applyAlignment="1">
      <alignment horizontal="center"/>
    </xf>
    <xf numFmtId="0" fontId="11" fillId="0" borderId="18" xfId="0" applyFont="1" applyBorder="1" applyAlignment="1">
      <alignment horizontal="center"/>
    </xf>
    <xf numFmtId="0" fontId="11" fillId="2" borderId="18" xfId="0" applyFont="1" applyFill="1" applyBorder="1" applyAlignment="1">
      <alignment horizontal="center"/>
    </xf>
    <xf numFmtId="0" fontId="1" fillId="6" borderId="0" xfId="0" applyFont="1" applyFill="1"/>
    <xf numFmtId="0" fontId="5" fillId="2" borderId="17" xfId="0" applyFont="1" applyFill="1" applyBorder="1" applyAlignment="1">
      <alignment horizontal="center"/>
    </xf>
    <xf numFmtId="0" fontId="6" fillId="2" borderId="9" xfId="0" applyFont="1" applyFill="1" applyBorder="1" applyAlignment="1">
      <alignment horizontal="center"/>
    </xf>
    <xf numFmtId="0" fontId="5" fillId="6" borderId="8" xfId="0" applyFont="1" applyFill="1" applyBorder="1" applyAlignment="1">
      <alignment horizontal="center"/>
    </xf>
    <xf numFmtId="0" fontId="6" fillId="0" borderId="8" xfId="0" applyFont="1" applyBorder="1" applyAlignment="1">
      <alignment horizontal="center"/>
    </xf>
    <xf numFmtId="0" fontId="0" fillId="0" borderId="26" xfId="0" applyBorder="1"/>
    <xf numFmtId="0" fontId="0" fillId="0" borderId="34" xfId="0" applyBorder="1"/>
    <xf numFmtId="0" fontId="0" fillId="0" borderId="44" xfId="0" applyBorder="1"/>
    <xf numFmtId="0" fontId="11" fillId="15" borderId="25" xfId="0" applyFont="1" applyFill="1" applyBorder="1" applyAlignment="1">
      <alignment horizontal="center"/>
    </xf>
    <xf numFmtId="0" fontId="11" fillId="15" borderId="45" xfId="0" applyFont="1" applyFill="1" applyBorder="1" applyAlignment="1">
      <alignment horizontal="center"/>
    </xf>
    <xf numFmtId="0" fontId="0" fillId="8" borderId="25" xfId="0" applyFill="1" applyBorder="1"/>
    <xf numFmtId="0" fontId="6" fillId="16" borderId="1" xfId="0" applyFont="1" applyFill="1" applyBorder="1" applyAlignment="1">
      <alignment horizontal="right"/>
    </xf>
    <xf numFmtId="0" fontId="6" fillId="16" borderId="25" xfId="0" applyFont="1" applyFill="1" applyBorder="1" applyAlignment="1">
      <alignment horizontal="right"/>
    </xf>
    <xf numFmtId="0" fontId="6" fillId="0" borderId="17" xfId="0" applyFont="1" applyBorder="1" applyAlignment="1">
      <alignment horizontal="center"/>
    </xf>
    <xf numFmtId="0" fontId="6" fillId="14" borderId="17" xfId="0" applyFont="1" applyFill="1" applyBorder="1" applyAlignment="1">
      <alignment horizontal="center"/>
    </xf>
    <xf numFmtId="0" fontId="6" fillId="14" borderId="1" xfId="0" applyFont="1" applyFill="1" applyBorder="1" applyAlignment="1">
      <alignment horizontal="center"/>
    </xf>
    <xf numFmtId="0" fontId="0" fillId="14" borderId="1" xfId="0" applyFill="1" applyBorder="1"/>
    <xf numFmtId="0" fontId="0" fillId="14" borderId="4" xfId="0" applyFill="1" applyBorder="1"/>
    <xf numFmtId="0" fontId="6" fillId="0" borderId="42" xfId="0" applyFont="1" applyBorder="1" applyAlignment="1">
      <alignment horizontal="center"/>
    </xf>
    <xf numFmtId="0" fontId="6" fillId="0" borderId="1" xfId="0" applyFont="1" applyBorder="1" applyAlignment="1">
      <alignment horizontal="left"/>
    </xf>
    <xf numFmtId="0" fontId="0" fillId="0" borderId="27" xfId="0" applyBorder="1"/>
    <xf numFmtId="0" fontId="0" fillId="0" borderId="13" xfId="0" applyBorder="1"/>
    <xf numFmtId="0" fontId="0" fillId="0" borderId="14" xfId="0" applyBorder="1"/>
    <xf numFmtId="0" fontId="0" fillId="0" borderId="15" xfId="0" applyBorder="1"/>
    <xf numFmtId="0" fontId="6" fillId="16" borderId="31" xfId="0" applyFont="1" applyFill="1" applyBorder="1" applyAlignment="1">
      <alignment horizontal="right"/>
    </xf>
    <xf numFmtId="0" fontId="0" fillId="0" borderId="9" xfId="0" applyBorder="1"/>
    <xf numFmtId="0" fontId="0" fillId="8" borderId="18" xfId="0" applyFill="1" applyBorder="1"/>
    <xf numFmtId="0" fontId="0" fillId="8" borderId="26" xfId="0" applyFill="1" applyBorder="1"/>
    <xf numFmtId="0" fontId="0" fillId="8" borderId="34" xfId="0" applyFill="1" applyBorder="1"/>
    <xf numFmtId="0" fontId="0" fillId="0" borderId="46" xfId="0" applyBorder="1"/>
    <xf numFmtId="0" fontId="6" fillId="16" borderId="1" xfId="0" applyFont="1" applyFill="1" applyBorder="1" applyAlignment="1">
      <alignment horizontal="center"/>
    </xf>
    <xf numFmtId="0" fontId="0" fillId="3" borderId="0" xfId="0" applyFill="1"/>
    <xf numFmtId="0" fontId="0" fillId="3" borderId="0" xfId="0" applyFill="1"/>
    <xf numFmtId="0" fontId="6" fillId="3" borderId="0" xfId="0" applyFont="1" applyFill="1"/>
    <xf numFmtId="0" fontId="1" fillId="3" borderId="0" xfId="0" applyFont="1" applyFill="1"/>
    <xf numFmtId="0" fontId="0" fillId="11" borderId="1" xfId="0" applyFill="1" applyBorder="1"/>
    <xf numFmtId="0" fontId="6" fillId="12" borderId="1" xfId="0" applyFont="1" applyFill="1" applyBorder="1" applyAlignment="1">
      <alignment horizontal="center"/>
    </xf>
    <xf numFmtId="0" fontId="0" fillId="12" borderId="1" xfId="0" applyFill="1" applyBorder="1" applyAlignment="1">
      <alignment horizontal="center"/>
    </xf>
    <xf numFmtId="0" fontId="5" fillId="2" borderId="8" xfId="0" applyFont="1" applyFill="1" applyBorder="1" applyAlignment="1">
      <alignment horizontal="center"/>
    </xf>
    <xf numFmtId="0" fontId="0" fillId="3" borderId="0" xfId="0" applyFill="1"/>
    <xf numFmtId="0" fontId="6" fillId="4" borderId="1" xfId="0" applyFont="1" applyFill="1" applyBorder="1" applyAlignment="1">
      <alignment horizontal="center"/>
    </xf>
    <xf numFmtId="0" fontId="6" fillId="3" borderId="1" xfId="0" applyFont="1" applyFill="1" applyBorder="1" applyAlignment="1">
      <alignment horizontal="center"/>
    </xf>
    <xf numFmtId="0" fontId="6" fillId="0" borderId="18" xfId="0" applyFont="1" applyBorder="1" applyAlignment="1">
      <alignment horizontal="center"/>
    </xf>
    <xf numFmtId="0" fontId="6" fillId="0" borderId="17" xfId="0" applyFont="1" applyBorder="1" applyAlignment="1">
      <alignment horizontal="center"/>
    </xf>
    <xf numFmtId="0" fontId="6" fillId="4" borderId="1" xfId="0" applyFont="1" applyFill="1" applyBorder="1"/>
    <xf numFmtId="0" fontId="0" fillId="17" borderId="1" xfId="0" applyFill="1" applyBorder="1"/>
    <xf numFmtId="0" fontId="6" fillId="4" borderId="1" xfId="0" applyFont="1" applyFill="1" applyBorder="1" applyAlignment="1">
      <alignment horizontal="right"/>
    </xf>
    <xf numFmtId="0" fontId="0" fillId="3" borderId="0" xfId="0" applyFill="1"/>
    <xf numFmtId="0" fontId="0" fillId="20" borderId="0" xfId="0" applyFill="1"/>
    <xf numFmtId="0" fontId="5" fillId="22" borderId="3" xfId="0" applyFont="1" applyFill="1" applyBorder="1"/>
    <xf numFmtId="0" fontId="0" fillId="11" borderId="32" xfId="0" applyFill="1" applyBorder="1"/>
    <xf numFmtId="0" fontId="6" fillId="0" borderId="0" xfId="0" applyFont="1" applyBorder="1" applyAlignment="1">
      <alignment horizontal="center"/>
    </xf>
    <xf numFmtId="0" fontId="6" fillId="18" borderId="3" xfId="0" applyFont="1" applyFill="1" applyBorder="1" applyAlignment="1">
      <alignment horizontal="center"/>
    </xf>
    <xf numFmtId="0" fontId="6" fillId="18" borderId="41" xfId="0" applyFont="1" applyFill="1" applyBorder="1" applyAlignment="1">
      <alignment horizontal="center"/>
    </xf>
    <xf numFmtId="0" fontId="6" fillId="4" borderId="6" xfId="0" applyFont="1" applyFill="1" applyBorder="1" applyAlignment="1">
      <alignment horizontal="center"/>
    </xf>
    <xf numFmtId="0" fontId="6" fillId="0" borderId="43" xfId="0" applyFont="1" applyBorder="1" applyAlignment="1">
      <alignment horizontal="center"/>
    </xf>
    <xf numFmtId="0" fontId="6" fillId="3" borderId="1" xfId="0" applyFont="1" applyFill="1" applyBorder="1"/>
    <xf numFmtId="0" fontId="11" fillId="15" borderId="31" xfId="0" applyFont="1" applyFill="1" applyBorder="1" applyAlignment="1">
      <alignment horizontal="center"/>
    </xf>
    <xf numFmtId="0" fontId="5" fillId="0" borderId="18" xfId="0" applyFont="1" applyBorder="1" applyAlignment="1">
      <alignment horizontal="center"/>
    </xf>
    <xf numFmtId="0" fontId="11" fillId="15" borderId="18" xfId="0" applyFont="1" applyFill="1" applyBorder="1" applyAlignment="1">
      <alignment horizontal="center"/>
    </xf>
    <xf numFmtId="0" fontId="11" fillId="15" borderId="54" xfId="0" applyFont="1" applyFill="1" applyBorder="1" applyAlignment="1">
      <alignment horizontal="center"/>
    </xf>
    <xf numFmtId="0" fontId="11" fillId="15" borderId="48" xfId="0" applyFont="1" applyFill="1" applyBorder="1" applyAlignment="1">
      <alignment horizontal="center"/>
    </xf>
    <xf numFmtId="0" fontId="5" fillId="0" borderId="17" xfId="0" applyFont="1" applyBorder="1" applyAlignment="1">
      <alignment horizontal="center"/>
    </xf>
    <xf numFmtId="0" fontId="11" fillId="2" borderId="17" xfId="0" applyFont="1" applyFill="1" applyBorder="1" applyAlignment="1">
      <alignment horizontal="center"/>
    </xf>
    <xf numFmtId="0" fontId="11" fillId="0" borderId="17" xfId="0" applyFont="1" applyBorder="1" applyAlignment="1">
      <alignment horizontal="center"/>
    </xf>
    <xf numFmtId="0" fontId="11" fillId="15" borderId="17" xfId="0" applyFont="1" applyFill="1" applyBorder="1" applyAlignment="1">
      <alignment horizontal="center"/>
    </xf>
    <xf numFmtId="0" fontId="11" fillId="15" borderId="49" xfId="0" applyFont="1" applyFill="1" applyBorder="1" applyAlignment="1">
      <alignment horizontal="center"/>
    </xf>
    <xf numFmtId="0" fontId="11" fillId="15" borderId="55" xfId="0" applyFont="1" applyFill="1" applyBorder="1" applyAlignment="1">
      <alignment horizontal="center"/>
    </xf>
    <xf numFmtId="0" fontId="5" fillId="0" borderId="56" xfId="0" applyFont="1" applyBorder="1" applyAlignment="1">
      <alignment horizontal="center"/>
    </xf>
    <xf numFmtId="0" fontId="11" fillId="2" borderId="56" xfId="0" applyFont="1" applyFill="1" applyBorder="1" applyAlignment="1">
      <alignment horizontal="center"/>
    </xf>
    <xf numFmtId="0" fontId="11" fillId="0" borderId="56" xfId="0" applyFont="1" applyBorder="1" applyAlignment="1">
      <alignment horizontal="center"/>
    </xf>
    <xf numFmtId="0" fontId="11" fillId="0" borderId="56" xfId="0" applyFont="1" applyFill="1" applyBorder="1" applyAlignment="1">
      <alignment horizontal="center"/>
    </xf>
    <xf numFmtId="0" fontId="11" fillId="15" borderId="56" xfId="0" applyFont="1" applyFill="1" applyBorder="1" applyAlignment="1">
      <alignment horizontal="center"/>
    </xf>
    <xf numFmtId="0" fontId="11" fillId="15" borderId="57" xfId="0" applyFont="1" applyFill="1" applyBorder="1" applyAlignment="1">
      <alignment horizontal="center"/>
    </xf>
    <xf numFmtId="0" fontId="6" fillId="16" borderId="0" xfId="0" applyFont="1" applyFill="1" applyAlignment="1">
      <alignment horizontal="center"/>
    </xf>
    <xf numFmtId="0" fontId="6" fillId="16" borderId="18" xfId="0" applyFont="1" applyFill="1" applyBorder="1" applyAlignment="1">
      <alignment horizontal="center"/>
    </xf>
    <xf numFmtId="0" fontId="6" fillId="0" borderId="18" xfId="0" applyFont="1" applyBorder="1" applyAlignment="1">
      <alignment horizontal="left"/>
    </xf>
    <xf numFmtId="0" fontId="6" fillId="14" borderId="18" xfId="0" applyFont="1" applyFill="1" applyBorder="1" applyAlignment="1">
      <alignment horizontal="center"/>
    </xf>
    <xf numFmtId="0" fontId="6" fillId="0" borderId="54" xfId="0" applyFont="1" applyBorder="1" applyAlignment="1">
      <alignment horizontal="center"/>
    </xf>
    <xf numFmtId="0" fontId="6" fillId="0" borderId="17" xfId="0" applyFont="1" applyBorder="1" applyAlignment="1">
      <alignment horizontal="left"/>
    </xf>
    <xf numFmtId="0" fontId="6" fillId="14" borderId="56" xfId="0" applyFont="1" applyFill="1" applyBorder="1" applyAlignment="1">
      <alignment horizontal="center"/>
    </xf>
    <xf numFmtId="0" fontId="6" fillId="0" borderId="56" xfId="0" applyFont="1" applyBorder="1" applyAlignment="1">
      <alignment horizontal="center"/>
    </xf>
    <xf numFmtId="0" fontId="6" fillId="0" borderId="57" xfId="0" applyFont="1" applyBorder="1" applyAlignment="1">
      <alignment horizontal="center"/>
    </xf>
    <xf numFmtId="0" fontId="6" fillId="0" borderId="20" xfId="0" applyFont="1" applyBorder="1" applyAlignment="1">
      <alignment horizontal="left"/>
    </xf>
    <xf numFmtId="0" fontId="6" fillId="14" borderId="20" xfId="0" applyFont="1" applyFill="1" applyBorder="1" applyAlignment="1">
      <alignment horizontal="center"/>
    </xf>
    <xf numFmtId="0" fontId="6" fillId="0" borderId="20" xfId="0" applyFont="1" applyBorder="1" applyAlignment="1">
      <alignment horizontal="center"/>
    </xf>
    <xf numFmtId="0" fontId="21" fillId="3" borderId="4" xfId="0" applyFont="1" applyFill="1" applyBorder="1" applyAlignment="1">
      <alignment horizontal="center"/>
    </xf>
    <xf numFmtId="0" fontId="22" fillId="3" borderId="4" xfId="0" applyFont="1" applyFill="1" applyBorder="1" applyAlignment="1">
      <alignment horizontal="center"/>
    </xf>
    <xf numFmtId="0" fontId="20" fillId="2" borderId="4" xfId="0" applyFont="1" applyFill="1" applyBorder="1" applyAlignment="1">
      <alignment horizontal="center"/>
    </xf>
    <xf numFmtId="0" fontId="10" fillId="2" borderId="4" xfId="0" applyFont="1" applyFill="1" applyBorder="1" applyAlignment="1">
      <alignment horizontal="center"/>
    </xf>
    <xf numFmtId="0" fontId="20" fillId="2" borderId="33" xfId="0" applyFont="1" applyFill="1" applyBorder="1" applyAlignment="1">
      <alignment horizontal="center"/>
    </xf>
    <xf numFmtId="0" fontId="0" fillId="3" borderId="8" xfId="0" applyFill="1" applyBorder="1" applyAlignment="1">
      <alignment horizontal="center"/>
    </xf>
    <xf numFmtId="0" fontId="21" fillId="3" borderId="2" xfId="0" applyFont="1" applyFill="1" applyBorder="1" applyAlignment="1">
      <alignment horizontal="center"/>
    </xf>
    <xf numFmtId="0" fontId="10" fillId="2" borderId="2" xfId="0" applyFont="1" applyFill="1" applyBorder="1" applyAlignment="1">
      <alignment horizontal="center"/>
    </xf>
    <xf numFmtId="0" fontId="18" fillId="2" borderId="4" xfId="0" applyFont="1" applyFill="1" applyBorder="1" applyAlignment="1">
      <alignment horizontal="center"/>
    </xf>
    <xf numFmtId="0" fontId="17" fillId="2" borderId="4" xfId="0" applyFont="1" applyFill="1" applyBorder="1" applyAlignment="1">
      <alignment horizontal="center"/>
    </xf>
    <xf numFmtId="0" fontId="21" fillId="2" borderId="33" xfId="0" applyFont="1" applyFill="1" applyBorder="1" applyAlignment="1">
      <alignment horizontal="center"/>
    </xf>
    <xf numFmtId="0" fontId="21" fillId="2" borderId="25" xfId="0" applyFont="1" applyFill="1" applyBorder="1" applyAlignment="1">
      <alignment horizontal="center"/>
    </xf>
    <xf numFmtId="0" fontId="19" fillId="2" borderId="33" xfId="0" applyFont="1" applyFill="1" applyBorder="1" applyAlignment="1">
      <alignment horizontal="center"/>
    </xf>
    <xf numFmtId="0" fontId="20" fillId="2" borderId="1" xfId="0" applyFont="1" applyFill="1" applyBorder="1" applyAlignment="1">
      <alignment horizontal="center"/>
    </xf>
    <xf numFmtId="0" fontId="0" fillId="17" borderId="25" xfId="0" applyFill="1" applyBorder="1"/>
    <xf numFmtId="0" fontId="5" fillId="23" borderId="18" xfId="0" applyFont="1" applyFill="1" applyBorder="1"/>
    <xf numFmtId="0" fontId="11" fillId="23" borderId="18" xfId="0" applyFont="1" applyFill="1" applyBorder="1" applyAlignment="1">
      <alignment horizontal="center"/>
    </xf>
    <xf numFmtId="0" fontId="20" fillId="12" borderId="33" xfId="0" applyFont="1" applyFill="1" applyBorder="1" applyAlignment="1">
      <alignment horizontal="center"/>
    </xf>
    <xf numFmtId="0" fontId="23" fillId="12" borderId="33" xfId="0" applyFont="1" applyFill="1" applyBorder="1" applyAlignment="1">
      <alignment horizontal="center"/>
    </xf>
    <xf numFmtId="0" fontId="21" fillId="12" borderId="33" xfId="0" applyFont="1" applyFill="1" applyBorder="1" applyAlignment="1">
      <alignment horizontal="center"/>
    </xf>
    <xf numFmtId="0" fontId="21" fillId="2" borderId="12" xfId="0" applyFont="1" applyFill="1" applyBorder="1" applyAlignment="1">
      <alignment horizontal="center"/>
    </xf>
    <xf numFmtId="0" fontId="21" fillId="2" borderId="1" xfId="0" applyFont="1" applyFill="1" applyBorder="1" applyAlignment="1">
      <alignment horizontal="center"/>
    </xf>
    <xf numFmtId="0" fontId="19" fillId="12" borderId="33" xfId="0" applyFont="1" applyFill="1" applyBorder="1" applyAlignment="1">
      <alignment horizontal="center"/>
    </xf>
    <xf numFmtId="0" fontId="6" fillId="4" borderId="1" xfId="0" applyFont="1" applyFill="1" applyBorder="1" applyAlignment="1">
      <alignment horizontal="center"/>
    </xf>
    <xf numFmtId="0" fontId="6" fillId="0" borderId="0" xfId="0" applyFont="1" applyBorder="1" applyAlignment="1">
      <alignment horizontal="center"/>
    </xf>
    <xf numFmtId="0" fontId="6" fillId="0" borderId="1" xfId="0" applyFont="1" applyBorder="1" applyAlignment="1">
      <alignment horizontal="center"/>
    </xf>
    <xf numFmtId="0" fontId="6" fillId="18" borderId="3" xfId="0" applyFont="1" applyFill="1" applyBorder="1" applyAlignment="1">
      <alignment horizontal="center"/>
    </xf>
    <xf numFmtId="0" fontId="20" fillId="14" borderId="56" xfId="0" applyFont="1" applyFill="1" applyBorder="1" applyAlignment="1">
      <alignment horizontal="center"/>
    </xf>
    <xf numFmtId="0" fontId="17" fillId="0" borderId="56" xfId="0" applyFont="1" applyBorder="1" applyAlignment="1">
      <alignment horizontal="left"/>
    </xf>
    <xf numFmtId="0" fontId="17" fillId="14" borderId="56" xfId="0" applyFont="1" applyFill="1" applyBorder="1" applyAlignment="1">
      <alignment horizontal="center"/>
    </xf>
    <xf numFmtId="0" fontId="17" fillId="0" borderId="56" xfId="0" applyFont="1" applyBorder="1" applyAlignment="1">
      <alignment horizontal="center"/>
    </xf>
    <xf numFmtId="0" fontId="0" fillId="0" borderId="1" xfId="0" applyBorder="1" applyAlignment="1">
      <alignment horizontal="left"/>
    </xf>
    <xf numFmtId="0" fontId="0" fillId="2" borderId="0" xfId="0" applyFill="1"/>
    <xf numFmtId="0" fontId="11" fillId="16" borderId="1" xfId="0" applyFont="1" applyFill="1" applyBorder="1" applyAlignment="1">
      <alignment horizontal="center"/>
    </xf>
    <xf numFmtId="0" fontId="0" fillId="10" borderId="1" xfId="0" applyFill="1" applyBorder="1" applyAlignment="1">
      <alignment horizontal="left"/>
    </xf>
    <xf numFmtId="0" fontId="6" fillId="0" borderId="1" xfId="0" applyFont="1" applyBorder="1" applyAlignment="1">
      <alignment horizontal="center"/>
    </xf>
    <xf numFmtId="0" fontId="6" fillId="0" borderId="18" xfId="0" applyFont="1" applyBorder="1" applyAlignment="1">
      <alignment horizontal="center"/>
    </xf>
    <xf numFmtId="0" fontId="0" fillId="0" borderId="0" xfId="0" applyBorder="1"/>
    <xf numFmtId="0" fontId="0" fillId="22" borderId="0" xfId="0" applyFill="1"/>
    <xf numFmtId="0" fontId="6" fillId="0" borderId="41" xfId="0" applyFont="1" applyBorder="1" applyAlignment="1">
      <alignment horizontal="center"/>
    </xf>
    <xf numFmtId="0" fontId="11" fillId="0" borderId="4" xfId="0" applyFont="1" applyBorder="1" applyAlignment="1">
      <alignment horizontal="center"/>
    </xf>
    <xf numFmtId="0" fontId="6" fillId="10" borderId="42" xfId="0" applyFont="1" applyFill="1" applyBorder="1" applyAlignment="1">
      <alignment horizontal="center"/>
    </xf>
    <xf numFmtId="0" fontId="11" fillId="0" borderId="5" xfId="0" applyFont="1" applyBorder="1" applyAlignment="1">
      <alignment horizontal="center"/>
    </xf>
    <xf numFmtId="0" fontId="11" fillId="16" borderId="6" xfId="0" applyFont="1" applyFill="1" applyBorder="1" applyAlignment="1">
      <alignment horizontal="center"/>
    </xf>
    <xf numFmtId="0" fontId="6" fillId="10" borderId="43" xfId="0" applyFont="1" applyFill="1" applyBorder="1" applyAlignment="1">
      <alignment horizontal="center"/>
    </xf>
    <xf numFmtId="0" fontId="6" fillId="0" borderId="2" xfId="0" applyFont="1" applyBorder="1"/>
    <xf numFmtId="0" fontId="6" fillId="4" borderId="42" xfId="0" applyFont="1" applyFill="1" applyBorder="1" applyAlignment="1">
      <alignment horizontal="center" vertical="center"/>
    </xf>
    <xf numFmtId="0" fontId="6" fillId="4" borderId="43" xfId="0" applyFont="1" applyFill="1" applyBorder="1" applyAlignment="1">
      <alignment horizontal="center" vertical="center"/>
    </xf>
    <xf numFmtId="0" fontId="11" fillId="0" borderId="45" xfId="0" applyFont="1" applyBorder="1" applyAlignment="1">
      <alignment horizontal="center"/>
    </xf>
    <xf numFmtId="0" fontId="20" fillId="3" borderId="12" xfId="0" applyFont="1" applyFill="1" applyBorder="1"/>
    <xf numFmtId="0" fontId="19" fillId="3" borderId="1" xfId="0" applyFont="1" applyFill="1" applyBorder="1" applyAlignment="1">
      <alignment horizontal="center"/>
    </xf>
    <xf numFmtId="0" fontId="6" fillId="0" borderId="0" xfId="0" applyFont="1" applyFill="1" applyBorder="1" applyAlignment="1">
      <alignment horizontal="center"/>
    </xf>
    <xf numFmtId="0" fontId="26" fillId="24" borderId="22" xfId="0" applyFont="1" applyFill="1" applyBorder="1"/>
    <xf numFmtId="0" fontId="26" fillId="24" borderId="28" xfId="0" applyFont="1" applyFill="1" applyBorder="1"/>
    <xf numFmtId="0" fontId="26" fillId="24" borderId="0" xfId="0" applyFont="1" applyFill="1" applyBorder="1"/>
    <xf numFmtId="0" fontId="26" fillId="24" borderId="27" xfId="0" applyFont="1" applyFill="1" applyBorder="1"/>
    <xf numFmtId="0" fontId="26" fillId="24" borderId="14" xfId="0" applyFont="1" applyFill="1" applyBorder="1"/>
    <xf numFmtId="0" fontId="26" fillId="24" borderId="15" xfId="0" applyFont="1" applyFill="1" applyBorder="1"/>
    <xf numFmtId="0" fontId="0" fillId="0" borderId="1" xfId="0" applyBorder="1" applyAlignment="1">
      <alignment horizontal="center"/>
    </xf>
    <xf numFmtId="0" fontId="6" fillId="0" borderId="1" xfId="0" applyFont="1" applyBorder="1" applyAlignment="1">
      <alignment horizontal="center"/>
    </xf>
    <xf numFmtId="0" fontId="5" fillId="0" borderId="0" xfId="0" applyFont="1" applyFill="1" applyBorder="1" applyAlignment="1">
      <alignment horizontal="center"/>
    </xf>
    <xf numFmtId="0" fontId="0" fillId="2" borderId="11" xfId="0" applyFill="1" applyBorder="1"/>
    <xf numFmtId="0" fontId="0" fillId="0" borderId="1" xfId="0" applyBorder="1" applyAlignment="1">
      <alignment horizontal="center"/>
    </xf>
    <xf numFmtId="0" fontId="0" fillId="0" borderId="28" xfId="0" applyBorder="1"/>
    <xf numFmtId="0" fontId="0" fillId="0" borderId="0" xfId="0" applyAlignment="1">
      <alignment horizontal="center"/>
    </xf>
    <xf numFmtId="0" fontId="0" fillId="0" borderId="11" xfId="0" applyBorder="1"/>
    <xf numFmtId="0" fontId="5" fillId="0" borderId="0" xfId="0" applyFont="1" applyFill="1" applyBorder="1" applyAlignment="1">
      <alignment horizontal="center"/>
    </xf>
    <xf numFmtId="0" fontId="6" fillId="0" borderId="1" xfId="0" applyFont="1" applyBorder="1" applyAlignment="1">
      <alignment horizontal="center"/>
    </xf>
    <xf numFmtId="0" fontId="6" fillId="0" borderId="0" xfId="0" applyFont="1" applyAlignment="1">
      <alignment horizontal="center"/>
    </xf>
    <xf numFmtId="0" fontId="0" fillId="0" borderId="0" xfId="0" applyFill="1" applyBorder="1"/>
    <xf numFmtId="0" fontId="6" fillId="0" borderId="0" xfId="0" applyFont="1" applyFill="1" applyBorder="1" applyAlignment="1">
      <alignment horizontal="center"/>
    </xf>
    <xf numFmtId="0" fontId="6" fillId="0" borderId="0" xfId="0" applyFont="1" applyFill="1" applyBorder="1" applyAlignment="1">
      <alignment vertical="center"/>
    </xf>
    <xf numFmtId="0" fontId="0" fillId="0" borderId="0" xfId="0" applyFill="1" applyBorder="1" applyAlignment="1">
      <alignment horizontal="center"/>
    </xf>
    <xf numFmtId="0" fontId="0" fillId="0" borderId="0" xfId="0" applyFill="1" applyBorder="1" applyAlignment="1"/>
    <xf numFmtId="0" fontId="12" fillId="0" borderId="0" xfId="0" applyFont="1" applyFill="1" applyBorder="1" applyAlignment="1">
      <alignment horizontal="center"/>
    </xf>
    <xf numFmtId="0" fontId="1" fillId="0" borderId="0" xfId="0" applyFont="1" applyFill="1" applyBorder="1" applyAlignment="1">
      <alignment horizontal="center"/>
    </xf>
    <xf numFmtId="0" fontId="1" fillId="0" borderId="0" xfId="0" applyFont="1" applyFill="1" applyBorder="1" applyAlignment="1">
      <alignment horizontal="right"/>
    </xf>
    <xf numFmtId="0" fontId="0" fillId="0" borderId="0" xfId="0" applyFill="1" applyBorder="1" applyAlignment="1">
      <alignment horizontal="right"/>
    </xf>
    <xf numFmtId="0" fontId="6" fillId="0" borderId="0" xfId="0" applyFont="1" applyFill="1" applyBorder="1" applyAlignment="1"/>
    <xf numFmtId="0" fontId="5" fillId="0" borderId="0" xfId="0" applyFont="1" applyFill="1" applyBorder="1" applyAlignment="1"/>
    <xf numFmtId="0" fontId="12" fillId="0" borderId="0" xfId="0" applyFont="1" applyFill="1" applyBorder="1"/>
    <xf numFmtId="0" fontId="0" fillId="26" borderId="16" xfId="0" applyFill="1" applyBorder="1"/>
    <xf numFmtId="0" fontId="0" fillId="26" borderId="22" xfId="0" applyFill="1" applyBorder="1"/>
    <xf numFmtId="0" fontId="0" fillId="26" borderId="28" xfId="0" applyFill="1" applyBorder="1"/>
    <xf numFmtId="0" fontId="0" fillId="26" borderId="13" xfId="0" applyFill="1" applyBorder="1"/>
    <xf numFmtId="0" fontId="0" fillId="26" borderId="14" xfId="0" applyFill="1" applyBorder="1"/>
    <xf numFmtId="0" fontId="0" fillId="26" borderId="15" xfId="0" applyFill="1" applyBorder="1"/>
    <xf numFmtId="0" fontId="6" fillId="26" borderId="14" xfId="0" applyFont="1" applyFill="1" applyBorder="1" applyAlignment="1">
      <alignment horizontal="center"/>
    </xf>
    <xf numFmtId="0" fontId="27" fillId="0" borderId="0" xfId="0" applyFont="1"/>
    <xf numFmtId="0" fontId="0" fillId="0" borderId="0" xfId="0" applyAlignment="1">
      <alignment horizontal="right"/>
    </xf>
    <xf numFmtId="0" fontId="0" fillId="8" borderId="1" xfId="0" applyFill="1" applyBorder="1" applyAlignment="1">
      <alignment horizontal="center"/>
    </xf>
    <xf numFmtId="0" fontId="6" fillId="0" borderId="0" xfId="0" applyFont="1" applyFill="1" applyBorder="1" applyAlignment="1">
      <alignment horizontal="center"/>
    </xf>
    <xf numFmtId="0" fontId="6" fillId="0" borderId="0" xfId="0" applyFont="1" applyAlignment="1">
      <alignment horizontal="center"/>
    </xf>
    <xf numFmtId="0" fontId="6" fillId="0" borderId="1" xfId="0" applyFont="1" applyFill="1" applyBorder="1" applyAlignment="1">
      <alignment horizontal="center"/>
    </xf>
    <xf numFmtId="0" fontId="6" fillId="0" borderId="27" xfId="0" applyFont="1" applyFill="1" applyBorder="1" applyAlignment="1">
      <alignment horizontal="center"/>
    </xf>
    <xf numFmtId="0" fontId="20" fillId="0" borderId="0" xfId="0" applyFont="1" applyFill="1" applyBorder="1" applyAlignment="1">
      <alignment horizontal="center"/>
    </xf>
    <xf numFmtId="0" fontId="6" fillId="0" borderId="0" xfId="0" applyFont="1" applyFill="1" applyBorder="1" applyAlignment="1">
      <alignment horizontal="right"/>
    </xf>
    <xf numFmtId="0" fontId="0" fillId="14" borderId="59" xfId="0" applyFill="1" applyBorder="1"/>
    <xf numFmtId="0" fontId="6" fillId="0" borderId="0" xfId="0" applyFont="1" applyFill="1" applyBorder="1" applyAlignment="1">
      <alignment horizontal="left"/>
    </xf>
    <xf numFmtId="0" fontId="6" fillId="16" borderId="20" xfId="0" applyFont="1" applyFill="1" applyBorder="1" applyAlignment="1">
      <alignment horizontal="left"/>
    </xf>
    <xf numFmtId="0" fontId="17" fillId="0" borderId="60" xfId="0" applyFont="1" applyBorder="1" applyAlignment="1">
      <alignment horizontal="left"/>
    </xf>
    <xf numFmtId="0" fontId="17" fillId="14" borderId="60" xfId="0" applyFont="1" applyFill="1" applyBorder="1" applyAlignment="1">
      <alignment horizontal="center"/>
    </xf>
    <xf numFmtId="0" fontId="17" fillId="0" borderId="60" xfId="0" applyFont="1" applyBorder="1" applyAlignment="1">
      <alignment horizontal="center"/>
    </xf>
    <xf numFmtId="16" fontId="20" fillId="0" borderId="0" xfId="0" applyNumberFormat="1" applyFont="1" applyFill="1" applyBorder="1" applyAlignment="1">
      <alignment horizontal="center"/>
    </xf>
    <xf numFmtId="0" fontId="6" fillId="0" borderId="1" xfId="0" applyFont="1" applyFill="1" applyBorder="1" applyAlignment="1">
      <alignment horizontal="center"/>
    </xf>
    <xf numFmtId="0" fontId="24" fillId="0" borderId="0" xfId="0" applyFont="1" applyFill="1" applyBorder="1"/>
    <xf numFmtId="0" fontId="11" fillId="0" borderId="0" xfId="0" applyFont="1" applyFill="1" applyBorder="1" applyAlignment="1">
      <alignment horizontal="center"/>
    </xf>
    <xf numFmtId="0" fontId="6" fillId="0" borderId="1" xfId="0" applyFont="1" applyFill="1" applyBorder="1"/>
    <xf numFmtId="0" fontId="0" fillId="17" borderId="8" xfId="0" applyFill="1" applyBorder="1"/>
    <xf numFmtId="0" fontId="6" fillId="0" borderId="0" xfId="0" applyFont="1" applyFill="1" applyBorder="1"/>
    <xf numFmtId="0" fontId="0" fillId="17" borderId="18" xfId="0" applyFill="1" applyBorder="1"/>
    <xf numFmtId="0" fontId="11" fillId="0" borderId="0" xfId="0" applyFont="1" applyFill="1" applyBorder="1" applyAlignment="1">
      <alignment horizontal="center" vertical="center"/>
    </xf>
    <xf numFmtId="0" fontId="0" fillId="0" borderId="16" xfId="0" applyBorder="1"/>
    <xf numFmtId="0" fontId="5" fillId="0" borderId="0" xfId="0" applyFont="1" applyFill="1" applyBorder="1"/>
    <xf numFmtId="0" fontId="6" fillId="0" borderId="0" xfId="0" applyFont="1" applyFill="1" applyBorder="1" applyAlignment="1">
      <alignment horizontal="center" vertical="center"/>
    </xf>
    <xf numFmtId="0" fontId="11" fillId="0" borderId="0" xfId="0" applyFont="1" applyFill="1" applyBorder="1"/>
    <xf numFmtId="16" fontId="6" fillId="0" borderId="0" xfId="0" applyNumberFormat="1" applyFont="1" applyFill="1" applyBorder="1" applyAlignment="1">
      <alignment horizontal="center" vertical="center"/>
    </xf>
    <xf numFmtId="0" fontId="24" fillId="25" borderId="0" xfId="0" applyFont="1" applyFill="1" applyBorder="1" applyAlignment="1"/>
    <xf numFmtId="0" fontId="24" fillId="0" borderId="0" xfId="0" applyFont="1" applyFill="1" applyBorder="1" applyAlignment="1"/>
    <xf numFmtId="0" fontId="6" fillId="0" borderId="61" xfId="0" applyFont="1" applyBorder="1" applyAlignment="1">
      <alignment horizontal="center"/>
    </xf>
    <xf numFmtId="0" fontId="17" fillId="0" borderId="1" xfId="0" applyFont="1" applyBorder="1" applyAlignment="1">
      <alignment horizontal="center"/>
    </xf>
    <xf numFmtId="0" fontId="18" fillId="0" borderId="0" xfId="0" applyFont="1" applyFill="1" applyBorder="1" applyAlignment="1"/>
    <xf numFmtId="0" fontId="24" fillId="27" borderId="46" xfId="0" applyFont="1" applyFill="1" applyBorder="1"/>
    <xf numFmtId="0" fontId="24" fillId="27" borderId="0" xfId="0" applyFont="1" applyFill="1" applyBorder="1"/>
    <xf numFmtId="0" fontId="0" fillId="0" borderId="16" xfId="0" applyFill="1" applyBorder="1"/>
    <xf numFmtId="0" fontId="0" fillId="0" borderId="22" xfId="0" applyFill="1" applyBorder="1"/>
    <xf numFmtId="0" fontId="6" fillId="0" borderId="28" xfId="0" applyFont="1" applyFill="1" applyBorder="1" applyAlignment="1">
      <alignment horizontal="center"/>
    </xf>
    <xf numFmtId="0" fontId="0" fillId="0" borderId="46" xfId="0" applyFill="1" applyBorder="1"/>
    <xf numFmtId="0" fontId="0" fillId="0" borderId="27" xfId="0" applyFill="1" applyBorder="1"/>
    <xf numFmtId="0" fontId="9" fillId="0" borderId="46" xfId="0" applyFont="1" applyFill="1" applyBorder="1"/>
    <xf numFmtId="0" fontId="5" fillId="0" borderId="27" xfId="0" applyFont="1" applyFill="1" applyBorder="1" applyAlignment="1">
      <alignment horizontal="center"/>
    </xf>
    <xf numFmtId="0" fontId="6" fillId="0" borderId="46" xfId="0" applyFont="1" applyFill="1" applyBorder="1" applyAlignment="1">
      <alignment horizontal="center"/>
    </xf>
    <xf numFmtId="0" fontId="24" fillId="0" borderId="46" xfId="0" applyFont="1" applyFill="1" applyBorder="1"/>
    <xf numFmtId="0" fontId="25" fillId="0" borderId="27" xfId="0" applyFont="1" applyFill="1" applyBorder="1"/>
    <xf numFmtId="0" fontId="5" fillId="0" borderId="27" xfId="0" applyFont="1" applyFill="1" applyBorder="1" applyAlignment="1">
      <alignment horizontal="center" vertical="center"/>
    </xf>
    <xf numFmtId="0" fontId="17" fillId="0" borderId="0" xfId="0" applyFont="1" applyFill="1" applyBorder="1" applyAlignment="1"/>
    <xf numFmtId="0" fontId="6" fillId="0" borderId="27" xfId="0" applyFont="1" applyFill="1" applyBorder="1" applyAlignment="1"/>
    <xf numFmtId="0" fontId="11" fillId="0" borderId="0" xfId="0" applyFont="1" applyFill="1" applyBorder="1" applyAlignment="1">
      <alignment vertical="center"/>
    </xf>
    <xf numFmtId="0" fontId="6" fillId="0" borderId="46" xfId="0" applyFont="1" applyFill="1" applyBorder="1"/>
    <xf numFmtId="0" fontId="12" fillId="28" borderId="1" xfId="0" applyFont="1" applyFill="1" applyBorder="1" applyAlignment="1">
      <alignment horizontal="right"/>
    </xf>
    <xf numFmtId="0" fontId="12" fillId="28" borderId="1" xfId="0" applyFont="1" applyFill="1" applyBorder="1" applyAlignment="1"/>
    <xf numFmtId="0" fontId="12" fillId="28" borderId="1" xfId="0" applyFont="1" applyFill="1" applyBorder="1"/>
    <xf numFmtId="0" fontId="17" fillId="16" borderId="0" xfId="0" applyFont="1" applyFill="1" applyAlignment="1">
      <alignment horizontal="center"/>
    </xf>
    <xf numFmtId="0" fontId="6" fillId="28" borderId="1" xfId="0" applyFont="1" applyFill="1" applyBorder="1"/>
    <xf numFmtId="0" fontId="6" fillId="28" borderId="1" xfId="0" applyFont="1" applyFill="1" applyBorder="1" applyAlignment="1"/>
    <xf numFmtId="0" fontId="0" fillId="14" borderId="16" xfId="0" applyFill="1" applyBorder="1"/>
    <xf numFmtId="0" fontId="0" fillId="14" borderId="22" xfId="0" applyFill="1" applyBorder="1"/>
    <xf numFmtId="0" fontId="0" fillId="14" borderId="13" xfId="0" applyFill="1" applyBorder="1"/>
    <xf numFmtId="0" fontId="0" fillId="14" borderId="14" xfId="0" applyFill="1" applyBorder="1"/>
    <xf numFmtId="0" fontId="0" fillId="14" borderId="15" xfId="0" applyFill="1" applyBorder="1"/>
    <xf numFmtId="0" fontId="0" fillId="14" borderId="66" xfId="0" applyFill="1" applyBorder="1"/>
    <xf numFmtId="0" fontId="6" fillId="14" borderId="14" xfId="0" applyFont="1" applyFill="1" applyBorder="1"/>
    <xf numFmtId="0" fontId="0" fillId="14" borderId="67" xfId="0" applyFill="1" applyBorder="1"/>
    <xf numFmtId="0" fontId="0" fillId="6" borderId="1" xfId="0" applyFill="1" applyBorder="1" applyAlignment="1">
      <alignment horizontal="center" vertical="center"/>
    </xf>
    <xf numFmtId="0" fontId="28" fillId="8" borderId="1" xfId="0" applyFont="1" applyFill="1" applyBorder="1" applyAlignment="1">
      <alignment horizontal="center"/>
    </xf>
    <xf numFmtId="0" fontId="29" fillId="0" borderId="1" xfId="0" applyFont="1" applyBorder="1" applyAlignment="1">
      <alignment horizontal="center"/>
    </xf>
    <xf numFmtId="0" fontId="30" fillId="2" borderId="1" xfId="0" applyFont="1" applyFill="1" applyBorder="1" applyAlignment="1">
      <alignment horizontal="center"/>
    </xf>
    <xf numFmtId="0" fontId="30" fillId="0" borderId="1" xfId="0" applyFont="1" applyBorder="1" applyAlignment="1">
      <alignment horizontal="center"/>
    </xf>
    <xf numFmtId="0" fontId="30" fillId="15" borderId="1" xfId="0" applyFont="1" applyFill="1" applyBorder="1" applyAlignment="1">
      <alignment horizontal="center"/>
    </xf>
    <xf numFmtId="0" fontId="24" fillId="27" borderId="0" xfId="0" applyFont="1" applyFill="1"/>
    <xf numFmtId="0" fontId="25" fillId="27" borderId="0" xfId="0" applyFont="1" applyFill="1"/>
    <xf numFmtId="0" fontId="6" fillId="0" borderId="0" xfId="0" applyFont="1" applyFill="1" applyBorder="1" applyAlignment="1">
      <alignment horizontal="center"/>
    </xf>
    <xf numFmtId="0" fontId="19" fillId="0" borderId="0" xfId="0" applyFont="1"/>
    <xf numFmtId="0" fontId="0" fillId="0" borderId="0" xfId="0" applyFill="1" applyBorder="1" applyAlignment="1">
      <alignment horizontal="left"/>
    </xf>
    <xf numFmtId="0" fontId="6" fillId="0" borderId="1" xfId="0" applyFont="1" applyFill="1" applyBorder="1" applyAlignment="1">
      <alignment horizontal="right"/>
    </xf>
    <xf numFmtId="0" fontId="0" fillId="14" borderId="0" xfId="0" applyFill="1" applyBorder="1"/>
    <xf numFmtId="0" fontId="6" fillId="5" borderId="1" xfId="0" applyFont="1" applyFill="1" applyBorder="1" applyAlignment="1"/>
    <xf numFmtId="0" fontId="6" fillId="29" borderId="1" xfId="0" applyFont="1" applyFill="1" applyBorder="1" applyAlignment="1">
      <alignment horizontal="right"/>
    </xf>
    <xf numFmtId="0" fontId="6" fillId="29" borderId="1" xfId="0" applyFont="1" applyFill="1" applyBorder="1"/>
    <xf numFmtId="0" fontId="11" fillId="4" borderId="1" xfId="0" applyFont="1" applyFill="1" applyBorder="1" applyAlignment="1">
      <alignment horizontal="center"/>
    </xf>
    <xf numFmtId="0" fontId="6" fillId="3" borderId="9" xfId="0" applyFont="1" applyFill="1" applyBorder="1" applyAlignment="1">
      <alignment horizontal="center"/>
    </xf>
    <xf numFmtId="0" fontId="6" fillId="3" borderId="22" xfId="0" applyFont="1" applyFill="1" applyBorder="1" applyAlignment="1">
      <alignment horizontal="center"/>
    </xf>
    <xf numFmtId="0" fontId="6" fillId="3" borderId="28" xfId="0" applyFont="1" applyFill="1" applyBorder="1" applyAlignment="1">
      <alignment horizontal="center"/>
    </xf>
    <xf numFmtId="0" fontId="0" fillId="0" borderId="1" xfId="0" applyFill="1" applyBorder="1"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5" fillId="2" borderId="37" xfId="0" applyFont="1" applyFill="1" applyBorder="1" applyAlignment="1">
      <alignment horizontal="center"/>
    </xf>
    <xf numFmtId="0" fontId="5" fillId="2" borderId="38" xfId="0" applyFont="1" applyFill="1" applyBorder="1" applyAlignment="1">
      <alignment horizontal="center"/>
    </xf>
    <xf numFmtId="0" fontId="6" fillId="3" borderId="10" xfId="0" applyFont="1" applyFill="1" applyBorder="1" applyAlignment="1">
      <alignment horizontal="center"/>
    </xf>
    <xf numFmtId="0" fontId="6" fillId="3" borderId="11" xfId="0" applyFont="1" applyFill="1" applyBorder="1" applyAlignment="1">
      <alignment horizontal="center"/>
    </xf>
    <xf numFmtId="0" fontId="1" fillId="3" borderId="1" xfId="0" applyFont="1" applyFill="1" applyBorder="1" applyAlignment="1">
      <alignment horizontal="center"/>
    </xf>
    <xf numFmtId="0" fontId="1" fillId="0" borderId="9" xfId="0" applyFont="1" applyBorder="1" applyAlignment="1">
      <alignment horizontal="center"/>
    </xf>
    <xf numFmtId="0" fontId="0" fillId="0" borderId="10" xfId="0" applyBorder="1"/>
    <xf numFmtId="0" fontId="0" fillId="0" borderId="28" xfId="0" applyBorder="1"/>
    <xf numFmtId="0" fontId="11" fillId="3" borderId="9" xfId="0" applyFont="1" applyFill="1" applyBorder="1" applyAlignment="1">
      <alignment horizontal="center"/>
    </xf>
    <xf numFmtId="0" fontId="11" fillId="3" borderId="10" xfId="0" applyFont="1" applyFill="1" applyBorder="1" applyAlignment="1">
      <alignment horizontal="center"/>
    </xf>
    <xf numFmtId="0" fontId="11" fillId="3" borderId="11" xfId="0" applyFont="1" applyFill="1" applyBorder="1" applyAlignment="1">
      <alignment horizontal="center"/>
    </xf>
    <xf numFmtId="0" fontId="6" fillId="4" borderId="9" xfId="0" applyFont="1" applyFill="1" applyBorder="1" applyAlignment="1">
      <alignment horizontal="center"/>
    </xf>
    <xf numFmtId="0" fontId="6" fillId="4" borderId="10" xfId="0" applyFont="1"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0" borderId="0" xfId="0" applyAlignment="1">
      <alignment horizontal="center"/>
    </xf>
    <xf numFmtId="0" fontId="6" fillId="3" borderId="9" xfId="0" applyFont="1" applyFill="1" applyBorder="1" applyAlignment="1">
      <alignment horizontal="right"/>
    </xf>
    <xf numFmtId="0" fontId="6" fillId="3" borderId="10" xfId="0" applyFont="1" applyFill="1" applyBorder="1" applyAlignment="1">
      <alignment horizontal="right"/>
    </xf>
    <xf numFmtId="0" fontId="6" fillId="3" borderId="11" xfId="0" applyFont="1" applyFill="1" applyBorder="1" applyAlignment="1">
      <alignment horizontal="right"/>
    </xf>
    <xf numFmtId="0" fontId="1" fillId="0" borderId="0" xfId="0" applyFont="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4" fillId="2" borderId="1" xfId="0" applyFont="1" applyFill="1" applyBorder="1" applyAlignment="1">
      <alignment horizontal="center"/>
    </xf>
    <xf numFmtId="0" fontId="14" fillId="2" borderId="8" xfId="0" applyFont="1" applyFill="1" applyBorder="1" applyAlignment="1">
      <alignment horizontal="center"/>
    </xf>
    <xf numFmtId="0" fontId="9" fillId="2" borderId="1" xfId="0" applyFont="1" applyFill="1" applyBorder="1" applyAlignment="1">
      <alignment horizontal="center"/>
    </xf>
    <xf numFmtId="0" fontId="9" fillId="2" borderId="8" xfId="0" applyFont="1" applyFill="1" applyBorder="1" applyAlignment="1">
      <alignment horizontal="center"/>
    </xf>
    <xf numFmtId="0" fontId="16" fillId="12" borderId="1" xfId="0" applyFont="1" applyFill="1" applyBorder="1" applyAlignment="1">
      <alignment horizontal="center"/>
    </xf>
    <xf numFmtId="0" fontId="0" fillId="0" borderId="21" xfId="0" applyBorder="1" applyAlignment="1">
      <alignment horizontal="center"/>
    </xf>
    <xf numFmtId="0" fontId="6" fillId="4" borderId="9" xfId="0" applyFont="1" applyFill="1" applyBorder="1" applyAlignment="1">
      <alignment horizontal="right"/>
    </xf>
    <xf numFmtId="0" fontId="6" fillId="4" borderId="10" xfId="0" applyFont="1" applyFill="1" applyBorder="1" applyAlignment="1">
      <alignment horizontal="right"/>
    </xf>
    <xf numFmtId="0" fontId="6" fillId="4" borderId="11" xfId="0" applyFont="1" applyFill="1" applyBorder="1" applyAlignment="1">
      <alignment horizontal="right"/>
    </xf>
    <xf numFmtId="0" fontId="9" fillId="2" borderId="35" xfId="0" applyFont="1" applyFill="1" applyBorder="1" applyAlignment="1">
      <alignment horizontal="center"/>
    </xf>
    <xf numFmtId="0" fontId="0" fillId="2" borderId="8" xfId="0" applyFill="1" applyBorder="1" applyAlignment="1">
      <alignment horizontal="center"/>
    </xf>
    <xf numFmtId="0" fontId="0" fillId="2" borderId="36" xfId="0" applyFill="1" applyBorder="1" applyAlignment="1">
      <alignment horizontal="center"/>
    </xf>
    <xf numFmtId="0" fontId="9" fillId="2" borderId="18" xfId="0" applyFont="1" applyFill="1" applyBorder="1" applyAlignment="1">
      <alignment horizontal="center"/>
    </xf>
    <xf numFmtId="0" fontId="9" fillId="2" borderId="62" xfId="0" applyFont="1" applyFill="1" applyBorder="1" applyAlignment="1">
      <alignment horizontal="center"/>
    </xf>
    <xf numFmtId="0" fontId="5" fillId="3" borderId="9" xfId="0" applyFont="1" applyFill="1" applyBorder="1" applyAlignment="1">
      <alignment horizontal="center" vertical="center"/>
    </xf>
    <xf numFmtId="0" fontId="5" fillId="3" borderId="11" xfId="0" applyFont="1" applyFill="1" applyBorder="1" applyAlignment="1">
      <alignment horizontal="center" vertical="center"/>
    </xf>
    <xf numFmtId="0" fontId="6" fillId="4" borderId="1" xfId="0" applyFont="1" applyFill="1" applyBorder="1" applyAlignment="1">
      <alignment horizontal="right"/>
    </xf>
    <xf numFmtId="0" fontId="0" fillId="0" borderId="0" xfId="0" applyAlignment="1">
      <alignment horizontal="right"/>
    </xf>
    <xf numFmtId="0" fontId="5" fillId="12" borderId="1" xfId="0" applyFont="1" applyFill="1" applyBorder="1" applyAlignment="1">
      <alignment horizontal="center"/>
    </xf>
    <xf numFmtId="0" fontId="0" fillId="12" borderId="8" xfId="0" applyFill="1" applyBorder="1" applyAlignment="1">
      <alignment horizontal="center"/>
    </xf>
    <xf numFmtId="0" fontId="6" fillId="12" borderId="1" xfId="0" applyFont="1" applyFill="1" applyBorder="1" applyAlignment="1">
      <alignment horizontal="center"/>
    </xf>
    <xf numFmtId="0" fontId="0" fillId="2" borderId="1" xfId="0" applyFill="1" applyBorder="1" applyAlignment="1">
      <alignment horizontal="center"/>
    </xf>
    <xf numFmtId="0" fontId="0" fillId="8" borderId="1" xfId="0" applyFill="1" applyBorder="1" applyAlignment="1">
      <alignment horizontal="center"/>
    </xf>
    <xf numFmtId="0" fontId="0" fillId="10" borderId="17" xfId="0" applyFill="1" applyBorder="1" applyAlignment="1">
      <alignment horizontal="center"/>
    </xf>
    <xf numFmtId="0" fontId="0" fillId="12" borderId="35" xfId="0" applyFill="1" applyBorder="1" applyAlignment="1">
      <alignment horizontal="center"/>
    </xf>
    <xf numFmtId="0" fontId="0" fillId="5" borderId="0" xfId="0" applyFill="1" applyAlignment="1">
      <alignment horizontal="center"/>
    </xf>
    <xf numFmtId="0" fontId="1" fillId="4" borderId="0" xfId="0" applyFont="1" applyFill="1" applyAlignment="1">
      <alignment horizontal="center"/>
    </xf>
    <xf numFmtId="0" fontId="0" fillId="4" borderId="0" xfId="0" applyFill="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0" fontId="0" fillId="2" borderId="0" xfId="0" applyFill="1" applyAlignment="1">
      <alignment horizontal="center"/>
    </xf>
    <xf numFmtId="0" fontId="0" fillId="12" borderId="17" xfId="0" applyFill="1" applyBorder="1" applyAlignment="1">
      <alignment horizontal="center"/>
    </xf>
    <xf numFmtId="0" fontId="0" fillId="12" borderId="37" xfId="0" applyFill="1" applyBorder="1" applyAlignment="1">
      <alignment horizontal="center"/>
    </xf>
    <xf numFmtId="0" fontId="0" fillId="12" borderId="1" xfId="0" applyFill="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6" fillId="12" borderId="8" xfId="0" applyFont="1" applyFill="1" applyBorder="1" applyAlignment="1">
      <alignment horizontal="center"/>
    </xf>
    <xf numFmtId="0" fontId="6" fillId="12" borderId="24" xfId="0" applyFont="1" applyFill="1" applyBorder="1" applyAlignment="1">
      <alignment horizontal="center"/>
    </xf>
    <xf numFmtId="0" fontId="6" fillId="12" borderId="25" xfId="0" applyFont="1" applyFill="1" applyBorder="1" applyAlignment="1">
      <alignment horizontal="center"/>
    </xf>
    <xf numFmtId="0" fontId="0" fillId="10" borderId="1" xfId="0" applyFill="1" applyBorder="1" applyAlignment="1">
      <alignment horizontal="left"/>
    </xf>
    <xf numFmtId="0" fontId="0" fillId="10" borderId="8" xfId="0" applyFill="1" applyBorder="1" applyAlignment="1">
      <alignment horizontal="left"/>
    </xf>
    <xf numFmtId="0" fontId="14" fillId="10" borderId="0" xfId="0" applyFont="1" applyFill="1" applyAlignment="1">
      <alignment horizontal="center"/>
    </xf>
    <xf numFmtId="0" fontId="0" fillId="10" borderId="0" xfId="0" applyFill="1" applyAlignment="1">
      <alignment horizontal="center"/>
    </xf>
    <xf numFmtId="0" fontId="5" fillId="10" borderId="0" xfId="0" applyFont="1" applyFill="1" applyAlignment="1">
      <alignment horizontal="center"/>
    </xf>
    <xf numFmtId="0" fontId="12" fillId="4" borderId="0" xfId="0" applyFont="1" applyFill="1" applyAlignment="1">
      <alignment horizontal="center"/>
    </xf>
    <xf numFmtId="0" fontId="0" fillId="9" borderId="0" xfId="0" applyFill="1" applyAlignment="1">
      <alignment horizontal="center"/>
    </xf>
    <xf numFmtId="0" fontId="6" fillId="10" borderId="1" xfId="0" applyFont="1" applyFill="1" applyBorder="1" applyAlignment="1">
      <alignment horizontal="left"/>
    </xf>
    <xf numFmtId="0" fontId="11" fillId="9" borderId="0" xfId="0" applyFont="1" applyFill="1" applyAlignment="1">
      <alignment horizontal="center"/>
    </xf>
    <xf numFmtId="0" fontId="11" fillId="10" borderId="0" xfId="0" applyFont="1" applyFill="1" applyAlignment="1">
      <alignment horizontal="center"/>
    </xf>
    <xf numFmtId="0" fontId="0" fillId="10" borderId="1" xfId="0" applyFill="1" applyBorder="1" applyAlignment="1">
      <alignment horizontal="center"/>
    </xf>
    <xf numFmtId="0" fontId="18" fillId="0" borderId="0" xfId="0" applyFont="1" applyAlignment="1">
      <alignment horizontal="center"/>
    </xf>
    <xf numFmtId="0" fontId="0" fillId="0" borderId="11" xfId="0" applyBorder="1"/>
    <xf numFmtId="0" fontId="0" fillId="0" borderId="8" xfId="0" applyBorder="1" applyAlignment="1">
      <alignment horizontal="center"/>
    </xf>
    <xf numFmtId="0" fontId="5" fillId="2" borderId="8" xfId="0" applyFont="1" applyFill="1" applyBorder="1" applyAlignment="1">
      <alignment horizontal="center"/>
    </xf>
    <xf numFmtId="0" fontId="5" fillId="2" borderId="24" xfId="0" applyFont="1" applyFill="1" applyBorder="1" applyAlignment="1">
      <alignment horizontal="center"/>
    </xf>
    <xf numFmtId="0" fontId="5" fillId="2" borderId="1" xfId="0" applyFont="1" applyFill="1" applyBorder="1" applyAlignment="1">
      <alignment horizontal="center"/>
    </xf>
    <xf numFmtId="0" fontId="5" fillId="2" borderId="35" xfId="0" applyFont="1" applyFill="1" applyBorder="1" applyAlignment="1">
      <alignment horizontal="center"/>
    </xf>
    <xf numFmtId="0" fontId="12" fillId="4" borderId="16" xfId="0" applyFont="1" applyFill="1" applyBorder="1" applyAlignment="1">
      <alignment horizontal="center"/>
    </xf>
    <xf numFmtId="0" fontId="12" fillId="4" borderId="22" xfId="0" applyFont="1" applyFill="1" applyBorder="1" applyAlignment="1">
      <alignment horizontal="center"/>
    </xf>
    <xf numFmtId="0" fontId="12" fillId="4" borderId="28" xfId="0" applyFont="1" applyFill="1" applyBorder="1" applyAlignment="1">
      <alignment horizontal="center"/>
    </xf>
    <xf numFmtId="0" fontId="6" fillId="4" borderId="11" xfId="0" applyFont="1" applyFill="1" applyBorder="1" applyAlignment="1">
      <alignment horizontal="center"/>
    </xf>
    <xf numFmtId="0" fontId="6" fillId="3" borderId="29" xfId="0" applyFont="1" applyFill="1" applyBorder="1" applyAlignment="1">
      <alignment horizontal="center"/>
    </xf>
    <xf numFmtId="0" fontId="0" fillId="0" borderId="23" xfId="0" applyBorder="1"/>
    <xf numFmtId="0" fontId="0" fillId="0" borderId="30" xfId="0" applyBorder="1"/>
    <xf numFmtId="0" fontId="0" fillId="0" borderId="24" xfId="0" applyBorder="1" applyAlignment="1">
      <alignment horizontal="center"/>
    </xf>
    <xf numFmtId="0" fontId="0" fillId="0" borderId="31" xfId="0" applyBorder="1" applyAlignment="1">
      <alignment horizontal="center"/>
    </xf>
    <xf numFmtId="0" fontId="5" fillId="0" borderId="0" xfId="0" applyFont="1" applyAlignment="1">
      <alignment horizontal="center"/>
    </xf>
    <xf numFmtId="0" fontId="5" fillId="0" borderId="8" xfId="0" applyFont="1" applyBorder="1" applyAlignment="1">
      <alignment horizontal="right"/>
    </xf>
    <xf numFmtId="0" fontId="5" fillId="0" borderId="24" xfId="0" applyFont="1" applyBorder="1" applyAlignment="1">
      <alignment horizontal="right"/>
    </xf>
    <xf numFmtId="0" fontId="5" fillId="0" borderId="25" xfId="0" applyFont="1" applyBorder="1" applyAlignment="1">
      <alignment horizontal="right"/>
    </xf>
    <xf numFmtId="0" fontId="6" fillId="3" borderId="0" xfId="0" applyFont="1" applyFill="1" applyAlignment="1">
      <alignment horizontal="right"/>
    </xf>
    <xf numFmtId="0" fontId="0" fillId="3" borderId="0" xfId="0" applyFill="1"/>
    <xf numFmtId="0" fontId="0" fillId="3" borderId="27" xfId="0" applyFill="1" applyBorder="1"/>
    <xf numFmtId="0" fontId="0" fillId="0" borderId="25" xfId="0" applyBorder="1" applyAlignment="1">
      <alignment horizontal="center"/>
    </xf>
    <xf numFmtId="0" fontId="5" fillId="16" borderId="0" xfId="0" applyFont="1" applyFill="1" applyBorder="1" applyAlignment="1">
      <alignment horizontal="center"/>
    </xf>
    <xf numFmtId="0" fontId="5" fillId="16" borderId="21" xfId="0" applyFont="1" applyFill="1" applyBorder="1" applyAlignment="1">
      <alignment horizontal="center"/>
    </xf>
    <xf numFmtId="0" fontId="19" fillId="0" borderId="17" xfId="0" applyFont="1" applyBorder="1" applyAlignment="1">
      <alignment horizontal="center"/>
    </xf>
    <xf numFmtId="0" fontId="19" fillId="0" borderId="1" xfId="0" applyFont="1" applyBorder="1" applyAlignment="1">
      <alignment horizontal="center"/>
    </xf>
    <xf numFmtId="0" fontId="19" fillId="0" borderId="8" xfId="0" applyFont="1" applyBorder="1" applyAlignment="1">
      <alignment horizontal="center"/>
    </xf>
    <xf numFmtId="0" fontId="6" fillId="4" borderId="16" xfId="0" applyFont="1" applyFill="1" applyBorder="1" applyAlignment="1">
      <alignment horizontal="center"/>
    </xf>
    <xf numFmtId="0" fontId="6" fillId="4" borderId="22" xfId="0" applyFont="1" applyFill="1" applyBorder="1" applyAlignment="1">
      <alignment horizontal="center"/>
    </xf>
    <xf numFmtId="0" fontId="6" fillId="4" borderId="28" xfId="0" applyFont="1" applyFill="1" applyBorder="1" applyAlignment="1">
      <alignment horizontal="center"/>
    </xf>
    <xf numFmtId="0" fontId="1" fillId="0" borderId="8" xfId="0" applyFont="1" applyBorder="1" applyAlignment="1">
      <alignment horizontal="center"/>
    </xf>
    <xf numFmtId="0" fontId="1" fillId="0" borderId="24" xfId="0" applyFont="1" applyBorder="1" applyAlignment="1">
      <alignment horizontal="center"/>
    </xf>
    <xf numFmtId="0" fontId="1" fillId="0" borderId="25" xfId="0" applyFont="1" applyBorder="1" applyAlignment="1">
      <alignment horizontal="center"/>
    </xf>
    <xf numFmtId="0" fontId="19" fillId="0" borderId="24" xfId="0" applyFont="1" applyBorder="1" applyAlignment="1">
      <alignment horizontal="center"/>
    </xf>
    <xf numFmtId="0" fontId="19" fillId="0" borderId="25" xfId="0" applyFont="1" applyBorder="1" applyAlignment="1">
      <alignment horizontal="center"/>
    </xf>
    <xf numFmtId="0" fontId="0" fillId="0" borderId="17" xfId="0" applyBorder="1" applyAlignment="1">
      <alignment horizontal="center"/>
    </xf>
    <xf numFmtId="0" fontId="6" fillId="3" borderId="0" xfId="0" applyFont="1" applyFill="1" applyBorder="1" applyAlignment="1">
      <alignment horizontal="center"/>
    </xf>
    <xf numFmtId="0" fontId="6" fillId="3" borderId="27" xfId="0" applyFont="1" applyFill="1" applyBorder="1" applyAlignment="1">
      <alignment horizontal="center"/>
    </xf>
    <xf numFmtId="0" fontId="12" fillId="0" borderId="16" xfId="0" applyFont="1" applyFill="1" applyBorder="1" applyAlignment="1">
      <alignment horizontal="center"/>
    </xf>
    <xf numFmtId="0" fontId="12" fillId="0" borderId="22" xfId="0" applyFont="1" applyFill="1" applyBorder="1" applyAlignment="1">
      <alignment horizontal="center"/>
    </xf>
    <xf numFmtId="0" fontId="12" fillId="0" borderId="28" xfId="0" applyFont="1" applyFill="1" applyBorder="1" applyAlignment="1">
      <alignment horizontal="center"/>
    </xf>
    <xf numFmtId="0" fontId="0" fillId="3" borderId="10" xfId="0" applyFill="1" applyBorder="1"/>
    <xf numFmtId="0" fontId="0" fillId="3" borderId="11" xfId="0" applyFill="1" applyBorder="1"/>
    <xf numFmtId="0" fontId="19" fillId="0" borderId="31" xfId="0" applyFont="1" applyBorder="1" applyAlignment="1">
      <alignment horizontal="center"/>
    </xf>
    <xf numFmtId="0" fontId="14" fillId="2" borderId="36" xfId="0" applyFont="1" applyFill="1" applyBorder="1" applyAlignment="1">
      <alignment horizontal="center"/>
    </xf>
    <xf numFmtId="0" fontId="0" fillId="2" borderId="39" xfId="0" applyFill="1" applyBorder="1" applyAlignment="1">
      <alignment horizontal="center"/>
    </xf>
    <xf numFmtId="0" fontId="0" fillId="2" borderId="40" xfId="0" applyFill="1" applyBorder="1" applyAlignment="1">
      <alignment horizontal="center"/>
    </xf>
    <xf numFmtId="0" fontId="6" fillId="0" borderId="0" xfId="0" applyFont="1" applyFill="1" applyBorder="1" applyAlignment="1">
      <alignment horizontal="center"/>
    </xf>
    <xf numFmtId="0" fontId="1" fillId="10" borderId="8" xfId="0" applyFont="1" applyFill="1" applyBorder="1" applyAlignment="1">
      <alignment horizontal="center"/>
    </xf>
    <xf numFmtId="0" fontId="1" fillId="10" borderId="24" xfId="0" applyFont="1" applyFill="1" applyBorder="1" applyAlignment="1">
      <alignment horizontal="center"/>
    </xf>
    <xf numFmtId="0" fontId="1" fillId="10" borderId="25" xfId="0" applyFont="1" applyFill="1" applyBorder="1" applyAlignment="1">
      <alignment horizontal="center"/>
    </xf>
    <xf numFmtId="0" fontId="19" fillId="0" borderId="0" xfId="0" applyFont="1" applyAlignment="1">
      <alignment horizontal="center"/>
    </xf>
    <xf numFmtId="0" fontId="0" fillId="0" borderId="0" xfId="0" applyAlignment="1">
      <alignment horizontal="left"/>
    </xf>
    <xf numFmtId="0" fontId="6" fillId="14" borderId="66" xfId="0" applyFont="1" applyFill="1" applyBorder="1" applyAlignment="1">
      <alignment horizontal="center"/>
    </xf>
    <xf numFmtId="0" fontId="9" fillId="0" borderId="0" xfId="0" applyFont="1" applyFill="1" applyBorder="1" applyAlignment="1">
      <alignment horizontal="center"/>
    </xf>
    <xf numFmtId="0" fontId="12" fillId="4" borderId="9" xfId="0" applyFont="1" applyFill="1" applyBorder="1" applyAlignment="1">
      <alignment horizontal="center"/>
    </xf>
    <xf numFmtId="0" fontId="12" fillId="4" borderId="10" xfId="0" applyFont="1" applyFill="1" applyBorder="1" applyAlignment="1">
      <alignment horizontal="center"/>
    </xf>
    <xf numFmtId="0" fontId="12" fillId="4" borderId="11" xfId="0" applyFont="1" applyFill="1" applyBorder="1" applyAlignment="1">
      <alignment horizontal="center"/>
    </xf>
    <xf numFmtId="0" fontId="6" fillId="0" borderId="1" xfId="0" applyFont="1" applyFill="1" applyBorder="1" applyAlignment="1">
      <alignment horizontal="center"/>
    </xf>
    <xf numFmtId="0" fontId="20" fillId="0" borderId="0" xfId="0" applyFont="1" applyFill="1" applyBorder="1" applyAlignment="1">
      <alignment horizontal="center"/>
    </xf>
    <xf numFmtId="0" fontId="5" fillId="0" borderId="8" xfId="0" applyFont="1" applyFill="1" applyBorder="1" applyAlignment="1">
      <alignment horizontal="center"/>
    </xf>
    <xf numFmtId="0" fontId="5" fillId="0" borderId="25" xfId="0" applyFont="1" applyFill="1" applyBorder="1" applyAlignment="1">
      <alignment horizontal="center"/>
    </xf>
    <xf numFmtId="0" fontId="6" fillId="0" borderId="1" xfId="0" applyFont="1" applyBorder="1" applyAlignment="1">
      <alignment horizontal="center"/>
    </xf>
    <xf numFmtId="0" fontId="12" fillId="10" borderId="1" xfId="0" applyFont="1" applyFill="1" applyBorder="1" applyAlignment="1">
      <alignment horizontal="center"/>
    </xf>
    <xf numFmtId="0" fontId="5" fillId="21" borderId="50" xfId="0" applyFont="1" applyFill="1" applyBorder="1" applyAlignment="1">
      <alignment horizontal="center"/>
    </xf>
    <xf numFmtId="0" fontId="5" fillId="21" borderId="25" xfId="0" applyFont="1" applyFill="1" applyBorder="1" applyAlignment="1">
      <alignment horizontal="center"/>
    </xf>
    <xf numFmtId="0" fontId="5" fillId="21" borderId="51" xfId="0" applyFont="1" applyFill="1" applyBorder="1" applyAlignment="1">
      <alignment horizontal="center"/>
    </xf>
    <xf numFmtId="0" fontId="5" fillId="21" borderId="45" xfId="0" applyFont="1" applyFill="1" applyBorder="1" applyAlignment="1">
      <alignment horizontal="center"/>
    </xf>
    <xf numFmtId="0" fontId="6" fillId="23" borderId="18" xfId="0" applyFont="1" applyFill="1" applyBorder="1" applyAlignment="1">
      <alignment horizontal="center"/>
    </xf>
    <xf numFmtId="0" fontId="5" fillId="0" borderId="55" xfId="0" applyFont="1" applyBorder="1" applyAlignment="1">
      <alignment horizontal="center"/>
    </xf>
    <xf numFmtId="0" fontId="5" fillId="0" borderId="56" xfId="0" applyFont="1" applyBorder="1" applyAlignment="1">
      <alignment horizontal="center"/>
    </xf>
    <xf numFmtId="0" fontId="5" fillId="0" borderId="20" xfId="0" applyFont="1" applyBorder="1" applyAlignment="1">
      <alignment horizontal="center"/>
    </xf>
    <xf numFmtId="0" fontId="5" fillId="0" borderId="17" xfId="0" applyFont="1" applyBorder="1" applyAlignment="1">
      <alignment horizontal="center"/>
    </xf>
    <xf numFmtId="0" fontId="6" fillId="0" borderId="0" xfId="0" applyFont="1" applyFill="1" applyBorder="1" applyAlignment="1">
      <alignment horizontal="center" vertical="center"/>
    </xf>
    <xf numFmtId="0" fontId="5" fillId="0" borderId="0" xfId="0" applyFont="1" applyFill="1" applyBorder="1" applyAlignment="1">
      <alignment horizontal="center"/>
    </xf>
    <xf numFmtId="0" fontId="11" fillId="0" borderId="0" xfId="0" applyFont="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center"/>
    </xf>
    <xf numFmtId="0" fontId="6" fillId="18" borderId="2" xfId="0" applyFont="1" applyFill="1" applyBorder="1" applyAlignment="1">
      <alignment horizontal="center"/>
    </xf>
    <xf numFmtId="0" fontId="6" fillId="18" borderId="3" xfId="0" applyFont="1" applyFill="1" applyBorder="1" applyAlignment="1">
      <alignment horizontal="center"/>
    </xf>
    <xf numFmtId="0" fontId="5" fillId="8" borderId="4" xfId="0" applyFont="1" applyFill="1" applyBorder="1" applyAlignment="1">
      <alignment horizontal="center"/>
    </xf>
    <xf numFmtId="0" fontId="5" fillId="8" borderId="1" xfId="0" applyFont="1" applyFill="1" applyBorder="1" applyAlignment="1">
      <alignment horizontal="center"/>
    </xf>
    <xf numFmtId="0" fontId="11" fillId="8" borderId="4" xfId="0" applyFont="1" applyFill="1" applyBorder="1" applyAlignment="1">
      <alignment horizontal="center"/>
    </xf>
    <xf numFmtId="0" fontId="11" fillId="8" borderId="1" xfId="0" applyFont="1" applyFill="1" applyBorder="1" applyAlignment="1">
      <alignment horizontal="center"/>
    </xf>
    <xf numFmtId="0" fontId="11" fillId="8" borderId="5" xfId="0" applyFont="1" applyFill="1" applyBorder="1" applyAlignment="1">
      <alignment horizontal="center"/>
    </xf>
    <xf numFmtId="0" fontId="11" fillId="8" borderId="6" xfId="0" applyFont="1" applyFill="1" applyBorder="1" applyAlignment="1">
      <alignment horizontal="center"/>
    </xf>
    <xf numFmtId="0" fontId="11" fillId="21" borderId="4" xfId="0" applyFont="1" applyFill="1" applyBorder="1" applyAlignment="1">
      <alignment horizontal="center"/>
    </xf>
    <xf numFmtId="0" fontId="11" fillId="21" borderId="1" xfId="0" applyFont="1" applyFill="1" applyBorder="1" applyAlignment="1">
      <alignment horizontal="center"/>
    </xf>
    <xf numFmtId="0" fontId="7" fillId="18" borderId="0" xfId="0" applyFont="1" applyFill="1" applyAlignment="1">
      <alignment horizontal="center"/>
    </xf>
    <xf numFmtId="0" fontId="11" fillId="21" borderId="53" xfId="0" applyFont="1" applyFill="1" applyBorder="1" applyAlignment="1">
      <alignment horizontal="center"/>
    </xf>
    <xf numFmtId="0" fontId="11" fillId="21" borderId="17" xfId="0" applyFont="1" applyFill="1" applyBorder="1" applyAlignment="1">
      <alignment horizontal="center"/>
    </xf>
    <xf numFmtId="0" fontId="6" fillId="4" borderId="1" xfId="0" applyFont="1" applyFill="1" applyBorder="1" applyAlignment="1">
      <alignment horizontal="center"/>
    </xf>
    <xf numFmtId="0" fontId="0" fillId="8" borderId="25" xfId="0" applyFill="1" applyBorder="1" applyAlignment="1">
      <alignment horizontal="center"/>
    </xf>
    <xf numFmtId="0" fontId="6" fillId="0" borderId="58" xfId="0" applyFont="1" applyBorder="1" applyAlignment="1">
      <alignment horizontal="center"/>
    </xf>
    <xf numFmtId="0" fontId="6" fillId="0" borderId="47" xfId="0" applyFont="1" applyBorder="1" applyAlignment="1">
      <alignment horizontal="center"/>
    </xf>
    <xf numFmtId="0" fontId="6" fillId="0" borderId="48" xfId="0" applyFont="1" applyBorder="1" applyAlignment="1">
      <alignment horizontal="center"/>
    </xf>
    <xf numFmtId="0" fontId="6" fillId="0" borderId="50" xfId="0" applyFont="1" applyBorder="1" applyAlignment="1">
      <alignment horizontal="center"/>
    </xf>
    <xf numFmtId="0" fontId="6" fillId="0" borderId="24" xfId="0" applyFont="1" applyBorder="1" applyAlignment="1">
      <alignment horizontal="center"/>
    </xf>
    <xf numFmtId="0" fontId="6" fillId="0" borderId="25" xfId="0" applyFont="1" applyBorder="1" applyAlignment="1">
      <alignment horizontal="center"/>
    </xf>
    <xf numFmtId="0" fontId="6" fillId="0" borderId="29" xfId="0" applyFont="1" applyBorder="1" applyAlignment="1">
      <alignment horizontal="center"/>
    </xf>
    <xf numFmtId="0" fontId="6" fillId="0" borderId="23" xfId="0" applyFont="1" applyBorder="1" applyAlignment="1">
      <alignment horizontal="center"/>
    </xf>
    <xf numFmtId="0" fontId="6" fillId="0" borderId="31" xfId="0" applyFont="1" applyBorder="1" applyAlignment="1">
      <alignment horizontal="center"/>
    </xf>
    <xf numFmtId="0" fontId="6" fillId="0" borderId="17" xfId="0" applyFont="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6" fillId="0" borderId="52" xfId="0" applyFont="1" applyBorder="1" applyAlignment="1">
      <alignment horizontal="center"/>
    </xf>
    <xf numFmtId="0" fontId="20" fillId="0" borderId="1" xfId="0" applyFont="1" applyBorder="1" applyAlignment="1">
      <alignment horizontal="center"/>
    </xf>
    <xf numFmtId="0" fontId="6" fillId="0" borderId="46" xfId="0" applyFont="1" applyBorder="1" applyAlignment="1">
      <alignment horizontal="center"/>
    </xf>
    <xf numFmtId="0" fontId="6" fillId="0" borderId="0" xfId="0" applyFont="1" applyBorder="1" applyAlignment="1">
      <alignment horizontal="center"/>
    </xf>
    <xf numFmtId="0" fontId="6" fillId="0" borderId="21" xfId="0" applyFont="1" applyBorder="1" applyAlignment="1">
      <alignment horizontal="center"/>
    </xf>
    <xf numFmtId="0" fontId="6" fillId="0" borderId="16" xfId="0" applyFont="1" applyBorder="1" applyAlignment="1">
      <alignment horizontal="center"/>
    </xf>
    <xf numFmtId="0" fontId="6" fillId="0" borderId="22" xfId="0" applyFont="1" applyBorder="1" applyAlignment="1">
      <alignment horizontal="center"/>
    </xf>
    <xf numFmtId="0" fontId="6" fillId="0" borderId="65" xfId="0" applyFont="1" applyBorder="1" applyAlignment="1">
      <alignment horizontal="center"/>
    </xf>
    <xf numFmtId="0" fontId="0" fillId="0" borderId="0" xfId="0" applyFill="1" applyBorder="1" applyAlignment="1">
      <alignment horizontal="center"/>
    </xf>
    <xf numFmtId="0" fontId="18" fillId="0" borderId="0" xfId="0" applyFont="1" applyFill="1" applyBorder="1" applyAlignment="1">
      <alignment horizontal="center"/>
    </xf>
    <xf numFmtId="0" fontId="12" fillId="0" borderId="0" xfId="0" applyFont="1" applyFill="1" applyBorder="1" applyAlignment="1">
      <alignment horizontal="center"/>
    </xf>
    <xf numFmtId="0" fontId="6" fillId="22" borderId="2" xfId="0" applyFont="1" applyFill="1" applyBorder="1" applyAlignment="1">
      <alignment horizontal="center"/>
    </xf>
    <xf numFmtId="0" fontId="6" fillId="22" borderId="3" xfId="0" applyFont="1" applyFill="1" applyBorder="1" applyAlignment="1">
      <alignment horizontal="center"/>
    </xf>
    <xf numFmtId="0" fontId="5" fillId="22" borderId="3" xfId="0" applyFont="1" applyFill="1" applyBorder="1" applyAlignment="1">
      <alignment horizontal="center"/>
    </xf>
    <xf numFmtId="0" fontId="5" fillId="22" borderId="1" xfId="0" applyFont="1" applyFill="1" applyBorder="1" applyAlignment="1">
      <alignment horizontal="center"/>
    </xf>
    <xf numFmtId="0" fontId="6" fillId="18" borderId="46" xfId="0" applyFont="1" applyFill="1" applyBorder="1" applyAlignment="1">
      <alignment horizontal="right"/>
    </xf>
    <xf numFmtId="0" fontId="6" fillId="18" borderId="0" xfId="0" applyFont="1" applyFill="1" applyBorder="1" applyAlignment="1">
      <alignment horizontal="right"/>
    </xf>
    <xf numFmtId="0" fontId="6" fillId="0" borderId="0" xfId="0" applyFont="1" applyAlignment="1">
      <alignment horizontal="center"/>
    </xf>
    <xf numFmtId="0" fontId="6" fillId="0" borderId="63" xfId="0" applyFont="1" applyBorder="1" applyAlignment="1">
      <alignment horizontal="center" vertical="center"/>
    </xf>
    <xf numFmtId="0" fontId="6" fillId="0" borderId="64" xfId="0" applyFont="1" applyBorder="1" applyAlignment="1">
      <alignment horizontal="center" vertical="center"/>
    </xf>
    <xf numFmtId="0" fontId="12" fillId="19" borderId="9" xfId="0" applyFont="1" applyFill="1" applyBorder="1" applyAlignment="1">
      <alignment horizontal="center"/>
    </xf>
    <xf numFmtId="0" fontId="12" fillId="19" borderId="11" xfId="0" applyFont="1" applyFill="1" applyBorder="1" applyAlignment="1">
      <alignment horizontal="center"/>
    </xf>
    <xf numFmtId="0" fontId="5" fillId="6" borderId="1" xfId="0" applyFont="1" applyFill="1" applyBorder="1" applyAlignment="1">
      <alignment horizontal="center"/>
    </xf>
    <xf numFmtId="0" fontId="9" fillId="0" borderId="17" xfId="0" applyFont="1" applyBorder="1" applyAlignment="1">
      <alignment horizontal="center"/>
    </xf>
    <xf numFmtId="0" fontId="9" fillId="0" borderId="3" xfId="0" applyFont="1" applyBorder="1" applyAlignment="1">
      <alignment horizontal="center"/>
    </xf>
    <xf numFmtId="0" fontId="9" fillId="2" borderId="3" xfId="0" applyFont="1" applyFill="1" applyBorder="1" applyAlignment="1">
      <alignment horizontal="center"/>
    </xf>
    <xf numFmtId="0" fontId="5" fillId="0" borderId="3" xfId="0" applyFont="1" applyBorder="1" applyAlignment="1">
      <alignment horizontal="center"/>
    </xf>
    <xf numFmtId="0" fontId="5" fillId="2" borderId="3" xfId="0" applyFont="1" applyFill="1" applyBorder="1" applyAlignment="1">
      <alignment horizontal="center"/>
    </xf>
    <xf numFmtId="0" fontId="5" fillId="2" borderId="41" xfId="0" applyFont="1" applyFill="1" applyBorder="1" applyAlignment="1">
      <alignment horizontal="center"/>
    </xf>
    <xf numFmtId="0" fontId="6" fillId="5" borderId="9" xfId="0" applyFont="1" applyFill="1" applyBorder="1" applyAlignment="1">
      <alignment horizontal="center"/>
    </xf>
    <xf numFmtId="0" fontId="6" fillId="5" borderId="11" xfId="0" applyFont="1" applyFill="1" applyBorder="1" applyAlignment="1">
      <alignment horizontal="center"/>
    </xf>
    <xf numFmtId="0" fontId="17" fillId="0" borderId="0" xfId="0" applyFont="1" applyFill="1" applyBorder="1"/>
    <xf numFmtId="0" fontId="17" fillId="29" borderId="1" xfId="0" applyFont="1" applyFill="1" applyBorder="1"/>
    <xf numFmtId="0" fontId="17" fillId="29" borderId="1" xfId="0" applyFont="1" applyFill="1" applyBorder="1" applyAlignment="1">
      <alignment horizontal="right"/>
    </xf>
    <xf numFmtId="0" fontId="33" fillId="5" borderId="1" xfId="0" applyFont="1" applyFill="1" applyBorder="1"/>
    <xf numFmtId="0" fontId="17" fillId="5" borderId="1" xfId="0" applyFont="1" applyFill="1" applyBorder="1"/>
  </cellXfs>
  <cellStyles count="1">
    <cellStyle name="Normal" xfId="0" builtinId="0"/>
  </cellStyles>
  <dxfs count="0"/>
  <tableStyles count="0" defaultTableStyle="TableStyleMedium9" defaultPivotStyle="PivotStyleLight16"/>
  <colors>
    <mruColors>
      <color rgb="FF808080"/>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ar-SY"/>
  <c:chart>
    <c:title>
      <c:tx>
        <c:rich>
          <a:bodyPr/>
          <a:lstStyle/>
          <a:p>
            <a:pPr>
              <a:defRPr lang="en-US"/>
            </a:pPr>
            <a:r>
              <a:rPr lang="el-GR"/>
              <a:t>τ</a:t>
            </a:r>
            <a:r>
              <a:rPr lang="az-Cyrl-AZ"/>
              <a:t>эф</a:t>
            </a:r>
            <a:r>
              <a:rPr lang="ar-EG"/>
              <a:t>حساب </a:t>
            </a:r>
            <a:endParaRPr lang="el-GR"/>
          </a:p>
        </c:rich>
      </c:tx>
    </c:title>
    <c:plotArea>
      <c:layout/>
      <c:scatterChart>
        <c:scatterStyle val="smoothMarker"/>
        <c:ser>
          <c:idx val="0"/>
          <c:order val="0"/>
          <c:tx>
            <c:strRef>
              <c:f>Sheet1!$H$114</c:f>
              <c:strCache>
                <c:ptCount val="1"/>
              </c:strCache>
            </c:strRef>
          </c:tx>
          <c:marker>
            <c:symbol val="none"/>
          </c:marker>
          <c:trendline>
            <c:trendlineType val="poly"/>
            <c:order val="2"/>
            <c:dispEq val="1"/>
            <c:trendlineLbl>
              <c:layout>
                <c:manualLayout>
                  <c:x val="0.155034025724161"/>
                  <c:y val="-0.3776892926098443"/>
                </c:manualLayout>
              </c:layout>
              <c:numFmt formatCode="General" sourceLinked="0"/>
              <c:txPr>
                <a:bodyPr/>
                <a:lstStyle/>
                <a:p>
                  <a:pPr>
                    <a:defRPr lang="en-US"/>
                  </a:pPr>
                  <a:endParaRPr lang="ar-SY"/>
                </a:p>
              </c:txPr>
            </c:trendlineLbl>
          </c:trendline>
          <c:xVal>
            <c:numRef>
              <c:f>Sheet1!$I$113:$N$113</c:f>
              <c:numCache>
                <c:formatCode>General</c:formatCode>
                <c:ptCount val="6"/>
              </c:numCache>
            </c:numRef>
          </c:xVal>
          <c:yVal>
            <c:numRef>
              <c:f>Sheet1!$I$114:$N$114</c:f>
              <c:numCache>
                <c:formatCode>General</c:formatCode>
                <c:ptCount val="6"/>
              </c:numCache>
            </c:numRef>
          </c:yVal>
          <c:smooth val="1"/>
        </c:ser>
        <c:axId val="78076544"/>
        <c:axId val="78099200"/>
      </c:scatterChart>
      <c:valAx>
        <c:axId val="78076544"/>
        <c:scaling>
          <c:orientation val="minMax"/>
          <c:max val="40"/>
        </c:scaling>
        <c:axPos val="b"/>
        <c:minorGridlines/>
        <c:title>
          <c:tx>
            <c:rich>
              <a:bodyPr/>
              <a:lstStyle/>
              <a:p>
                <a:pPr>
                  <a:defRPr lang="en-US"/>
                </a:pPr>
                <a:r>
                  <a:rPr lang="en-US"/>
                  <a:t>max</a:t>
                </a:r>
                <a:r>
                  <a:rPr lang="az-Cyrl-AZ">
                    <a:latin typeface="Times New Roman"/>
                    <a:cs typeface="Times New Roman"/>
                  </a:rPr>
                  <a:t>бв</a:t>
                </a:r>
                <a:endParaRPr lang="en-US"/>
              </a:p>
            </c:rich>
          </c:tx>
        </c:title>
        <c:numFmt formatCode="General" sourceLinked="1"/>
        <c:majorTickMark val="none"/>
        <c:tickLblPos val="nextTo"/>
        <c:txPr>
          <a:bodyPr/>
          <a:lstStyle/>
          <a:p>
            <a:pPr>
              <a:defRPr lang="en-US"/>
            </a:pPr>
            <a:endParaRPr lang="ar-SY"/>
          </a:p>
        </c:txPr>
        <c:crossAx val="78099200"/>
        <c:crosses val="autoZero"/>
        <c:crossBetween val="midCat"/>
      </c:valAx>
      <c:valAx>
        <c:axId val="78099200"/>
        <c:scaling>
          <c:orientation val="minMax"/>
        </c:scaling>
        <c:axPos val="l"/>
        <c:majorGridlines/>
        <c:title>
          <c:tx>
            <c:rich>
              <a:bodyPr/>
              <a:lstStyle/>
              <a:p>
                <a:pPr>
                  <a:defRPr lang="en-US" sz="1200">
                    <a:latin typeface="Times New Roman"/>
                    <a:cs typeface="Times New Roman"/>
                  </a:defRPr>
                </a:pPr>
                <a:r>
                  <a:rPr lang="en-US" sz="1200">
                    <a:latin typeface="Times New Roman"/>
                    <a:cs typeface="Times New Roman"/>
                  </a:rPr>
                  <a:t>τ</a:t>
                </a:r>
                <a:r>
                  <a:rPr lang="az-Cyrl-AZ" sz="1200">
                    <a:latin typeface="Times New Roman"/>
                    <a:cs typeface="Times New Roman"/>
                  </a:rPr>
                  <a:t>эф/</a:t>
                </a:r>
                <a:r>
                  <a:rPr lang="el-GR" sz="1200">
                    <a:latin typeface="Times New Roman"/>
                    <a:cs typeface="Times New Roman"/>
                  </a:rPr>
                  <a:t>τ</a:t>
                </a:r>
                <a:endParaRPr lang="en-US" sz="1200"/>
              </a:p>
            </c:rich>
          </c:tx>
        </c:title>
        <c:numFmt formatCode="General" sourceLinked="1"/>
        <c:majorTickMark val="none"/>
        <c:tickLblPos val="nextTo"/>
        <c:txPr>
          <a:bodyPr/>
          <a:lstStyle/>
          <a:p>
            <a:pPr>
              <a:defRPr lang="en-US"/>
            </a:pPr>
            <a:endParaRPr lang="ar-SY"/>
          </a:p>
        </c:txPr>
        <c:crossAx val="78076544"/>
        <c:crosses val="autoZero"/>
        <c:crossBetween val="midCat"/>
        <c:majorUnit val="0.1"/>
      </c:valAx>
    </c:plotArea>
    <c:legend>
      <c:legendPos val="r"/>
      <c:txPr>
        <a:bodyPr/>
        <a:lstStyle/>
        <a:p>
          <a:pPr>
            <a:defRPr lang="en-US"/>
          </a:pPr>
          <a:endParaRPr lang="ar-SY"/>
        </a:p>
      </c:txPr>
    </c:legend>
    <c:plotVisOnly val="1"/>
  </c:chart>
  <c:printSettings>
    <c:headerFooter/>
    <c:pageMargins b="0.75000000000000366" l="0.70000000000000062" r="0.70000000000000062" t="0.75000000000000366"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ar-SY"/>
  <c:chart>
    <c:autoTitleDeleted val="1"/>
    <c:plotArea>
      <c:layout/>
      <c:scatterChart>
        <c:scatterStyle val="smoothMarker"/>
        <c:ser>
          <c:idx val="0"/>
          <c:order val="0"/>
          <c:xVal>
            <c:numRef>
              <c:f>Sheet1!$D$168:$H$168</c:f>
              <c:numCache>
                <c:formatCode>General</c:formatCode>
                <c:ptCount val="5"/>
              </c:numCache>
            </c:numRef>
          </c:xVal>
          <c:yVal>
            <c:numRef>
              <c:f>Sheet1!$D$169:$H$169</c:f>
              <c:numCache>
                <c:formatCode>General</c:formatCode>
                <c:ptCount val="5"/>
              </c:numCache>
            </c:numRef>
          </c:yVal>
          <c:smooth val="1"/>
        </c:ser>
        <c:axId val="78398208"/>
        <c:axId val="78400128"/>
      </c:scatterChart>
      <c:valAx>
        <c:axId val="78398208"/>
        <c:scaling>
          <c:orientation val="minMax"/>
        </c:scaling>
        <c:axPos val="b"/>
        <c:majorGridlines/>
        <c:minorGridlines/>
        <c:title>
          <c:txPr>
            <a:bodyPr/>
            <a:lstStyle/>
            <a:p>
              <a:pPr>
                <a:defRPr lang="en-US">
                  <a:latin typeface="Times New Roman"/>
                  <a:cs typeface="Times New Roman"/>
                </a:defRPr>
              </a:pPr>
              <a:endParaRPr lang="ar-SY"/>
            </a:p>
          </c:txPr>
        </c:title>
        <c:numFmt formatCode="General" sourceLinked="1"/>
        <c:majorTickMark val="none"/>
        <c:tickLblPos val="nextTo"/>
        <c:txPr>
          <a:bodyPr/>
          <a:lstStyle/>
          <a:p>
            <a:pPr>
              <a:defRPr lang="en-US" b="1">
                <a:latin typeface="Times New Roman" pitchFamily="18" charset="0"/>
                <a:cs typeface="Times New Roman" pitchFamily="18" charset="0"/>
              </a:defRPr>
            </a:pPr>
            <a:endParaRPr lang="ar-SY"/>
          </a:p>
        </c:txPr>
        <c:crossAx val="78400128"/>
        <c:crosses val="autoZero"/>
        <c:crossBetween val="midCat"/>
      </c:valAx>
      <c:valAx>
        <c:axId val="78400128"/>
        <c:scaling>
          <c:orientation val="minMax"/>
        </c:scaling>
        <c:axPos val="l"/>
        <c:majorGridlines/>
        <c:minorGridlines/>
        <c:title>
          <c:tx>
            <c:rich>
              <a:bodyPr/>
              <a:lstStyle/>
              <a:p>
                <a:pPr>
                  <a:defRPr lang="en-US">
                    <a:latin typeface="Times New Roman" pitchFamily="18" charset="0"/>
                    <a:cs typeface="Times New Roman" pitchFamily="18" charset="0"/>
                  </a:defRPr>
                </a:pPr>
                <a:r>
                  <a:rPr lang="en-US">
                    <a:latin typeface="Times New Roman" pitchFamily="18" charset="0"/>
                    <a:cs typeface="Times New Roman" pitchFamily="18" charset="0"/>
                  </a:rPr>
                  <a:t>H/</a:t>
                </a:r>
                <a:r>
                  <a:rPr lang="en-US" sz="1200">
                    <a:latin typeface="Times New Roman" pitchFamily="18" charset="0"/>
                    <a:cs typeface="Times New Roman" pitchFamily="18" charset="0"/>
                  </a:rPr>
                  <a:t>a</a:t>
                </a:r>
                <a:r>
                  <a:rPr lang="en-US">
                    <a:latin typeface="Times New Roman" pitchFamily="18" charset="0"/>
                    <a:cs typeface="Times New Roman" pitchFamily="18" charset="0"/>
                  </a:rPr>
                  <a:t>p</a:t>
                </a:r>
              </a:p>
            </c:rich>
          </c:tx>
        </c:title>
        <c:numFmt formatCode="General" sourceLinked="1"/>
        <c:majorTickMark val="none"/>
        <c:tickLblPos val="nextTo"/>
        <c:txPr>
          <a:bodyPr/>
          <a:lstStyle/>
          <a:p>
            <a:pPr>
              <a:defRPr lang="en-US" b="1">
                <a:latin typeface="Times New Roman" pitchFamily="18" charset="0"/>
                <a:cs typeface="Times New Roman" pitchFamily="18" charset="0"/>
              </a:defRPr>
            </a:pPr>
            <a:endParaRPr lang="ar-SY"/>
          </a:p>
        </c:txPr>
        <c:crossAx val="78398208"/>
        <c:crosses val="autoZero"/>
        <c:crossBetween val="midCat"/>
      </c:valAx>
    </c:plotArea>
    <c:legend>
      <c:legendPos val="r"/>
      <c:txPr>
        <a:bodyPr/>
        <a:lstStyle/>
        <a:p>
          <a:pPr>
            <a:defRPr lang="en-US"/>
          </a:pPr>
          <a:endParaRPr lang="ar-SY"/>
        </a:p>
      </c:txPr>
    </c:legend>
    <c:plotVisOnly val="1"/>
  </c:chart>
  <c:printSettings>
    <c:headerFooter/>
    <c:pageMargins b="0.75000000000000333" l="0.70000000000000062" r="0.70000000000000062" t="0.75000000000000333"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581025</xdr:colOff>
      <xdr:row>94</xdr:row>
      <xdr:rowOff>57150</xdr:rowOff>
    </xdr:from>
    <xdr:to>
      <xdr:col>13</xdr:col>
      <xdr:colOff>333375</xdr:colOff>
      <xdr:row>100</xdr:row>
      <xdr:rowOff>171449</xdr:rowOff>
    </xdr:to>
    <xdr:grpSp>
      <xdr:nvGrpSpPr>
        <xdr:cNvPr id="3" name="Group 1"/>
        <xdr:cNvGrpSpPr>
          <a:grpSpLocks/>
        </xdr:cNvGrpSpPr>
      </xdr:nvGrpSpPr>
      <xdr:grpSpPr bwMode="auto">
        <a:xfrm>
          <a:off x="9944100" y="20297775"/>
          <a:ext cx="1428750" cy="1333499"/>
          <a:chOff x="108404025" y="108546900"/>
          <a:chExt cx="1428750" cy="1543050"/>
        </a:xfrm>
      </xdr:grpSpPr>
      <xdr:sp macro="" textlink="">
        <xdr:nvSpPr>
          <xdr:cNvPr id="4" name="Text Box 2"/>
          <xdr:cNvSpPr txBox="1">
            <a:spLocks noChangeArrowheads="1"/>
          </xdr:cNvSpPr>
        </xdr:nvSpPr>
        <xdr:spPr bwMode="auto">
          <a:xfrm>
            <a:off x="108632625" y="109861350"/>
            <a:ext cx="5715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400" b="1" i="0" u="none" strike="noStrike" baseline="0">
                <a:solidFill>
                  <a:srgbClr val="000000"/>
                </a:solidFill>
                <a:latin typeface="Times New Roman Greek"/>
                <a:cs typeface="Times New Roman Greek"/>
              </a:rPr>
              <a:t>τ</a:t>
            </a:r>
            <a:endParaRPr lang="el-GR" sz="400" b="1" i="0" u="none" strike="noStrike" baseline="0">
              <a:solidFill>
                <a:srgbClr val="000000"/>
              </a:solidFill>
              <a:latin typeface="Times New Roman"/>
              <a:cs typeface="Times New Roman"/>
            </a:endParaRPr>
          </a:p>
          <a:p>
            <a:pPr algn="l" rtl="0">
              <a:defRPr sz="1000"/>
            </a:pPr>
            <a:endParaRPr lang="el-GR" sz="400" b="1" i="0" u="none" strike="noStrike" baseline="0">
              <a:solidFill>
                <a:srgbClr val="000000"/>
              </a:solidFill>
              <a:latin typeface="Times New Roman"/>
              <a:cs typeface="Times New Roman"/>
            </a:endParaRPr>
          </a:p>
        </xdr:txBody>
      </xdr:sp>
      <xdr:grpSp>
        <xdr:nvGrpSpPr>
          <xdr:cNvPr id="5" name="Group 3"/>
          <xdr:cNvGrpSpPr>
            <a:grpSpLocks/>
          </xdr:cNvGrpSpPr>
        </xdr:nvGrpSpPr>
        <xdr:grpSpPr bwMode="auto">
          <a:xfrm>
            <a:off x="108404025" y="108546900"/>
            <a:ext cx="1428750" cy="1257301"/>
            <a:chOff x="108404025" y="108546900"/>
            <a:chExt cx="1428750" cy="1257301"/>
          </a:xfrm>
        </xdr:grpSpPr>
        <xdr:grpSp>
          <xdr:nvGrpSpPr>
            <xdr:cNvPr id="6" name="Group 4"/>
            <xdr:cNvGrpSpPr>
              <a:grpSpLocks/>
            </xdr:cNvGrpSpPr>
          </xdr:nvGrpSpPr>
          <xdr:grpSpPr bwMode="auto">
            <a:xfrm>
              <a:off x="108632625" y="108889800"/>
              <a:ext cx="1200150" cy="914401"/>
              <a:chOff x="108632625" y="108889800"/>
              <a:chExt cx="1200150" cy="914401"/>
            </a:xfrm>
          </xdr:grpSpPr>
          <xdr:sp macro="" textlink="">
            <xdr:nvSpPr>
              <xdr:cNvPr id="11" name="Line 5"/>
              <xdr:cNvSpPr>
                <a:spLocks noChangeShapeType="1"/>
              </xdr:cNvSpPr>
            </xdr:nvSpPr>
            <xdr:spPr bwMode="auto">
              <a:xfrm>
                <a:off x="108632625" y="108889800"/>
                <a:ext cx="1" cy="914400"/>
              </a:xfrm>
              <a:prstGeom prst="line">
                <a:avLst/>
              </a:prstGeom>
              <a:noFill/>
              <a:ln w="9525" algn="ctr">
                <a:solidFill>
                  <a:srgbClr val="000000"/>
                </a:solidFill>
                <a:round/>
                <a:headEnd/>
                <a:tailEnd/>
              </a:ln>
              <a:effectLst/>
            </xdr:spPr>
          </xdr:sp>
          <xdr:sp macro="" textlink="">
            <xdr:nvSpPr>
              <xdr:cNvPr id="12" name="Line 6"/>
              <xdr:cNvSpPr>
                <a:spLocks noChangeShapeType="1"/>
              </xdr:cNvSpPr>
            </xdr:nvSpPr>
            <xdr:spPr bwMode="auto">
              <a:xfrm>
                <a:off x="108632625" y="109804200"/>
                <a:ext cx="1200150" cy="1"/>
              </a:xfrm>
              <a:prstGeom prst="line">
                <a:avLst/>
              </a:prstGeom>
              <a:noFill/>
              <a:ln w="9525" algn="ctr">
                <a:solidFill>
                  <a:srgbClr val="000000"/>
                </a:solidFill>
                <a:round/>
                <a:headEnd/>
                <a:tailEnd/>
              </a:ln>
              <a:effectLst/>
            </xdr:spPr>
          </xdr:sp>
        </xdr:grpSp>
        <xdr:sp macro="" textlink="">
          <xdr:nvSpPr>
            <xdr:cNvPr id="7" name="Line 7"/>
            <xdr:cNvSpPr>
              <a:spLocks noChangeShapeType="1"/>
            </xdr:cNvSpPr>
          </xdr:nvSpPr>
          <xdr:spPr bwMode="auto">
            <a:xfrm flipV="1">
              <a:off x="108632625" y="109118400"/>
              <a:ext cx="514350" cy="685800"/>
            </a:xfrm>
            <a:prstGeom prst="line">
              <a:avLst/>
            </a:prstGeom>
            <a:noFill/>
            <a:ln w="9525" algn="ctr">
              <a:solidFill>
                <a:srgbClr val="000000"/>
              </a:solidFill>
              <a:round/>
              <a:headEnd/>
              <a:tailEnd/>
            </a:ln>
            <a:effectLst/>
          </xdr:spPr>
        </xdr:sp>
        <xdr:sp macro="" textlink="">
          <xdr:nvSpPr>
            <xdr:cNvPr id="8" name="Line 8"/>
            <xdr:cNvSpPr>
              <a:spLocks noChangeShapeType="1"/>
            </xdr:cNvSpPr>
          </xdr:nvSpPr>
          <xdr:spPr bwMode="auto">
            <a:xfrm>
              <a:off x="109146975" y="109118400"/>
              <a:ext cx="628650" cy="685800"/>
            </a:xfrm>
            <a:prstGeom prst="line">
              <a:avLst/>
            </a:prstGeom>
            <a:noFill/>
            <a:ln w="9525" algn="ctr">
              <a:solidFill>
                <a:srgbClr val="000000"/>
              </a:solidFill>
              <a:round/>
              <a:headEnd/>
              <a:tailEnd/>
            </a:ln>
            <a:effectLst/>
          </xdr:spPr>
        </xdr:sp>
        <xdr:sp macro="" textlink="">
          <xdr:nvSpPr>
            <xdr:cNvPr id="9" name="Line 9"/>
            <xdr:cNvSpPr>
              <a:spLocks noChangeShapeType="1"/>
            </xdr:cNvSpPr>
          </xdr:nvSpPr>
          <xdr:spPr bwMode="auto">
            <a:xfrm>
              <a:off x="109146975" y="109118400"/>
              <a:ext cx="0" cy="685800"/>
            </a:xfrm>
            <a:prstGeom prst="line">
              <a:avLst/>
            </a:prstGeom>
            <a:noFill/>
            <a:ln w="9525" algn="ctr">
              <a:solidFill>
                <a:srgbClr val="000000"/>
              </a:solidFill>
              <a:round/>
              <a:headEnd/>
              <a:tailEnd/>
            </a:ln>
            <a:effectLst/>
          </xdr:spPr>
        </xdr:sp>
        <xdr:sp macro="" textlink="">
          <xdr:nvSpPr>
            <xdr:cNvPr id="10" name="Text Box 10"/>
            <xdr:cNvSpPr txBox="1">
              <a:spLocks noChangeArrowheads="1"/>
            </xdr:cNvSpPr>
          </xdr:nvSpPr>
          <xdr:spPr bwMode="auto">
            <a:xfrm>
              <a:off x="108404025" y="108546900"/>
              <a:ext cx="685800" cy="28575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max</a:t>
              </a:r>
              <a:r>
                <a:rPr lang="az-Cyrl-AZ" sz="1000" b="1" i="0" u="none" strike="noStrike" baseline="0">
                  <a:solidFill>
                    <a:srgbClr val="000000"/>
                  </a:solidFill>
                  <a:latin typeface="Times New Roman Cyr"/>
                  <a:cs typeface="Times New Roman Cyr"/>
                </a:rPr>
                <a:t>б</a:t>
              </a:r>
              <a:r>
                <a:rPr lang="az-Cyrl-AZ" sz="1000" b="0" i="0" u="none" strike="noStrike" baseline="0">
                  <a:solidFill>
                    <a:srgbClr val="000000"/>
                  </a:solidFill>
                  <a:latin typeface="Times New Roman Cyr"/>
                  <a:cs typeface="Times New Roman Cyr"/>
                </a:rPr>
                <a:t>в</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grpSp>
    <xdr:clientData/>
  </xdr:twoCellAnchor>
  <xdr:twoCellAnchor>
    <xdr:from>
      <xdr:col>6</xdr:col>
      <xdr:colOff>104775</xdr:colOff>
      <xdr:row>95</xdr:row>
      <xdr:rowOff>123826</xdr:rowOff>
    </xdr:from>
    <xdr:to>
      <xdr:col>8</xdr:col>
      <xdr:colOff>523875</xdr:colOff>
      <xdr:row>101</xdr:row>
      <xdr:rowOff>114301</xdr:rowOff>
    </xdr:to>
    <xdr:grpSp>
      <xdr:nvGrpSpPr>
        <xdr:cNvPr id="1035" name="Group 11"/>
        <xdr:cNvGrpSpPr>
          <a:grpSpLocks/>
        </xdr:cNvGrpSpPr>
      </xdr:nvGrpSpPr>
      <xdr:grpSpPr bwMode="auto">
        <a:xfrm>
          <a:off x="6115050" y="20574001"/>
          <a:ext cx="1714500" cy="1200150"/>
          <a:chOff x="108746925" y="110375700"/>
          <a:chExt cx="2114550" cy="1371600"/>
        </a:xfrm>
      </xdr:grpSpPr>
      <xdr:grpSp>
        <xdr:nvGrpSpPr>
          <xdr:cNvPr id="1036" name="Group 12"/>
          <xdr:cNvGrpSpPr>
            <a:grpSpLocks/>
          </xdr:cNvGrpSpPr>
        </xdr:nvGrpSpPr>
        <xdr:grpSpPr bwMode="auto">
          <a:xfrm>
            <a:off x="108746925" y="110375700"/>
            <a:ext cx="1543050" cy="1200151"/>
            <a:chOff x="108746925" y="110375700"/>
            <a:chExt cx="1543050" cy="1200151"/>
          </a:xfrm>
        </xdr:grpSpPr>
        <xdr:grpSp>
          <xdr:nvGrpSpPr>
            <xdr:cNvPr id="1037" name="Group 13"/>
            <xdr:cNvGrpSpPr>
              <a:grpSpLocks/>
            </xdr:cNvGrpSpPr>
          </xdr:nvGrpSpPr>
          <xdr:grpSpPr bwMode="auto">
            <a:xfrm>
              <a:off x="109089825" y="110661450"/>
              <a:ext cx="1200150" cy="914401"/>
              <a:chOff x="109442250" y="111204375"/>
              <a:chExt cx="1200150" cy="914401"/>
            </a:xfrm>
          </xdr:grpSpPr>
          <xdr:sp macro="" textlink="">
            <xdr:nvSpPr>
              <xdr:cNvPr id="1038" name="Line 14"/>
              <xdr:cNvSpPr>
                <a:spLocks noChangeShapeType="1"/>
              </xdr:cNvSpPr>
            </xdr:nvSpPr>
            <xdr:spPr bwMode="auto">
              <a:xfrm>
                <a:off x="109442250" y="111204375"/>
                <a:ext cx="1" cy="914400"/>
              </a:xfrm>
              <a:prstGeom prst="line">
                <a:avLst/>
              </a:prstGeom>
              <a:noFill/>
              <a:ln w="9525" algn="ctr">
                <a:solidFill>
                  <a:srgbClr val="000000"/>
                </a:solidFill>
                <a:round/>
                <a:headEnd/>
                <a:tailEnd/>
              </a:ln>
              <a:effectLst/>
            </xdr:spPr>
          </xdr:sp>
          <xdr:sp macro="" textlink="">
            <xdr:nvSpPr>
              <xdr:cNvPr id="1039" name="Line 15"/>
              <xdr:cNvSpPr>
                <a:spLocks noChangeShapeType="1"/>
              </xdr:cNvSpPr>
            </xdr:nvSpPr>
            <xdr:spPr bwMode="auto">
              <a:xfrm>
                <a:off x="109442250" y="112118775"/>
                <a:ext cx="1200150" cy="1"/>
              </a:xfrm>
              <a:prstGeom prst="line">
                <a:avLst/>
              </a:prstGeom>
              <a:noFill/>
              <a:ln w="9525" algn="ctr">
                <a:solidFill>
                  <a:srgbClr val="000000"/>
                </a:solidFill>
                <a:round/>
                <a:headEnd/>
                <a:tailEnd/>
              </a:ln>
              <a:effectLst/>
            </xdr:spPr>
          </xdr:sp>
        </xdr:grpSp>
        <xdr:sp macro="" textlink="">
          <xdr:nvSpPr>
            <xdr:cNvPr id="1040" name="Line 16"/>
            <xdr:cNvSpPr>
              <a:spLocks noChangeShapeType="1"/>
            </xdr:cNvSpPr>
          </xdr:nvSpPr>
          <xdr:spPr bwMode="auto">
            <a:xfrm>
              <a:off x="109089825" y="110832900"/>
              <a:ext cx="742950" cy="742950"/>
            </a:xfrm>
            <a:prstGeom prst="line">
              <a:avLst/>
            </a:prstGeom>
            <a:noFill/>
            <a:ln w="9525">
              <a:solidFill>
                <a:srgbClr val="000000"/>
              </a:solidFill>
              <a:round/>
              <a:headEnd/>
              <a:tailEnd/>
            </a:ln>
            <a:effectLst/>
          </xdr:spPr>
        </xdr:sp>
        <xdr:sp macro="" textlink="">
          <xdr:nvSpPr>
            <xdr:cNvPr id="1041" name="Text Box 17"/>
            <xdr:cNvSpPr txBox="1">
              <a:spLocks noChangeArrowheads="1"/>
            </xdr:cNvSpPr>
          </xdr:nvSpPr>
          <xdr:spPr bwMode="auto">
            <a:xfrm>
              <a:off x="108746925" y="110375700"/>
              <a:ext cx="685800" cy="28575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n-US" sz="1000" b="1" i="0" u="none" strike="noStrike" baseline="0">
                  <a:solidFill>
                    <a:srgbClr val="000000"/>
                  </a:solidFill>
                  <a:latin typeface="Times New Roman"/>
                  <a:cs typeface="Times New Roman"/>
                </a:rPr>
                <a:t>max</a:t>
              </a:r>
              <a:r>
                <a:rPr lang="az-Cyrl-AZ" sz="1000" b="1" i="0" u="none" strike="noStrike" baseline="0">
                  <a:solidFill>
                    <a:srgbClr val="000000"/>
                  </a:solidFill>
                  <a:latin typeface="Times New Roman Cyr"/>
                  <a:cs typeface="Times New Roman Cyr"/>
                </a:rPr>
                <a:t>б</a:t>
              </a:r>
              <a:r>
                <a:rPr lang="az-Cyrl-AZ" sz="1000" b="0" i="0" u="none" strike="noStrike" baseline="0">
                  <a:solidFill>
                    <a:srgbClr val="000000"/>
                  </a:solidFill>
                  <a:latin typeface="Times New Roman Cyr"/>
                  <a:cs typeface="Times New Roman Cyr"/>
                </a:rPr>
                <a:t>в</a:t>
              </a:r>
              <a:endParaRPr lang="az-Cyrl-AZ" sz="400" b="0" i="0" u="none" strike="noStrike" baseline="0">
                <a:solidFill>
                  <a:srgbClr val="000000"/>
                </a:solidFill>
                <a:latin typeface="Times New Roman"/>
                <a:cs typeface="Times New Roman"/>
              </a:endParaRPr>
            </a:p>
            <a:p>
              <a:pPr algn="l" rtl="0">
                <a:defRPr sz="1000"/>
              </a:pPr>
              <a:endParaRPr lang="az-Cyrl-AZ" sz="400" b="0" i="0" u="none" strike="noStrike" baseline="0">
                <a:solidFill>
                  <a:srgbClr val="000000"/>
                </a:solidFill>
                <a:latin typeface="Times New Roman"/>
                <a:cs typeface="Times New Roman"/>
              </a:endParaRPr>
            </a:p>
          </xdr:txBody>
        </xdr:sp>
      </xdr:grpSp>
      <xdr:sp macro="" textlink="">
        <xdr:nvSpPr>
          <xdr:cNvPr id="1042" name="Text Box 18"/>
          <xdr:cNvSpPr txBox="1">
            <a:spLocks noChangeArrowheads="1"/>
          </xdr:cNvSpPr>
        </xdr:nvSpPr>
        <xdr:spPr bwMode="auto">
          <a:xfrm>
            <a:off x="110289975" y="111518700"/>
            <a:ext cx="571500" cy="2286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el-GR" sz="1400" b="1" i="0" u="none" strike="noStrike" baseline="0">
                <a:solidFill>
                  <a:srgbClr val="000000"/>
                </a:solidFill>
                <a:latin typeface="Times New Roman Greek"/>
                <a:cs typeface="Times New Roman Greek"/>
              </a:rPr>
              <a:t>τ</a:t>
            </a:r>
            <a:endParaRPr lang="el-GR" sz="400" b="1" i="0" u="none" strike="noStrike" baseline="0">
              <a:solidFill>
                <a:srgbClr val="000000"/>
              </a:solidFill>
              <a:latin typeface="Times New Roman"/>
              <a:cs typeface="Times New Roman"/>
            </a:endParaRPr>
          </a:p>
          <a:p>
            <a:pPr algn="l" rtl="0">
              <a:defRPr sz="1000"/>
            </a:pPr>
            <a:endParaRPr lang="el-GR" sz="400" b="1" i="0" u="none" strike="noStrike" baseline="0">
              <a:solidFill>
                <a:srgbClr val="000000"/>
              </a:solidFill>
              <a:latin typeface="Times New Roman"/>
              <a:cs typeface="Times New Roman"/>
            </a:endParaRPr>
          </a:p>
        </xdr:txBody>
      </xdr:sp>
    </xdr:grpSp>
    <xdr:clientData/>
  </xdr:twoCellAnchor>
  <xdr:twoCellAnchor>
    <xdr:from>
      <xdr:col>5</xdr:col>
      <xdr:colOff>838200</xdr:colOff>
      <xdr:row>116</xdr:row>
      <xdr:rowOff>57149</xdr:rowOff>
    </xdr:from>
    <xdr:to>
      <xdr:col>10</xdr:col>
      <xdr:colOff>533400</xdr:colOff>
      <xdr:row>133</xdr:row>
      <xdr:rowOff>47625</xdr:rowOff>
    </xdr:to>
    <xdr:graphicFrame macro="">
      <xdr:nvGraphicFramePr>
        <xdr:cNvPr id="32" name="Chart 3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1219200</xdr:colOff>
      <xdr:row>151</xdr:row>
      <xdr:rowOff>95250</xdr:rowOff>
    </xdr:from>
    <xdr:to>
      <xdr:col>7</xdr:col>
      <xdr:colOff>609600</xdr:colOff>
      <xdr:row>164</xdr:row>
      <xdr:rowOff>171450</xdr:rowOff>
    </xdr:to>
    <xdr:graphicFrame macro="">
      <xdr:nvGraphicFramePr>
        <xdr:cNvPr id="34" name="Chart 3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666749</xdr:colOff>
      <xdr:row>4</xdr:row>
      <xdr:rowOff>0</xdr:rowOff>
    </xdr:from>
    <xdr:to>
      <xdr:col>20</xdr:col>
      <xdr:colOff>9525</xdr:colOff>
      <xdr:row>14</xdr:row>
      <xdr:rowOff>9524</xdr:rowOff>
    </xdr:to>
    <xdr:cxnSp macro="">
      <xdr:nvCxnSpPr>
        <xdr:cNvPr id="46" name="Straight Connector 45"/>
        <xdr:cNvCxnSpPr/>
      </xdr:nvCxnSpPr>
      <xdr:spPr>
        <a:xfrm flipV="1">
          <a:off x="7524749" y="800100"/>
          <a:ext cx="6200776" cy="2009774"/>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657225</xdr:colOff>
      <xdr:row>20</xdr:row>
      <xdr:rowOff>9525</xdr:rowOff>
    </xdr:from>
    <xdr:to>
      <xdr:col>20</xdr:col>
      <xdr:colOff>19050</xdr:colOff>
      <xdr:row>20</xdr:row>
      <xdr:rowOff>9525</xdr:rowOff>
    </xdr:to>
    <xdr:cxnSp macro="">
      <xdr:nvCxnSpPr>
        <xdr:cNvPr id="48" name="Straight Connector 47"/>
        <xdr:cNvCxnSpPr/>
      </xdr:nvCxnSpPr>
      <xdr:spPr>
        <a:xfrm>
          <a:off x="7515225" y="4010025"/>
          <a:ext cx="6219825"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676275</xdr:colOff>
      <xdr:row>13</xdr:row>
      <xdr:rowOff>180975</xdr:rowOff>
    </xdr:from>
    <xdr:to>
      <xdr:col>11</xdr:col>
      <xdr:colOff>9525</xdr:colOff>
      <xdr:row>20</xdr:row>
      <xdr:rowOff>28575</xdr:rowOff>
    </xdr:to>
    <xdr:cxnSp macro="">
      <xdr:nvCxnSpPr>
        <xdr:cNvPr id="52" name="Straight Connector 51"/>
        <xdr:cNvCxnSpPr/>
      </xdr:nvCxnSpPr>
      <xdr:spPr>
        <a:xfrm flipH="1">
          <a:off x="7534275" y="2781300"/>
          <a:ext cx="19050" cy="12477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4</xdr:row>
      <xdr:rowOff>9525</xdr:rowOff>
    </xdr:from>
    <xdr:to>
      <xdr:col>20</xdr:col>
      <xdr:colOff>0</xdr:colOff>
      <xdr:row>20</xdr:row>
      <xdr:rowOff>19050</xdr:rowOff>
    </xdr:to>
    <xdr:cxnSp macro="">
      <xdr:nvCxnSpPr>
        <xdr:cNvPr id="54" name="Straight Connector 53"/>
        <xdr:cNvCxnSpPr/>
      </xdr:nvCxnSpPr>
      <xdr:spPr>
        <a:xfrm>
          <a:off x="13716000" y="809625"/>
          <a:ext cx="0" cy="32099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0</xdr:row>
      <xdr:rowOff>57150</xdr:rowOff>
    </xdr:from>
    <xdr:to>
      <xdr:col>15</xdr:col>
      <xdr:colOff>0</xdr:colOff>
      <xdr:row>9</xdr:row>
      <xdr:rowOff>85725</xdr:rowOff>
    </xdr:to>
    <xdr:cxnSp macro="">
      <xdr:nvCxnSpPr>
        <xdr:cNvPr id="56" name="Straight Connector 55"/>
        <xdr:cNvCxnSpPr/>
      </xdr:nvCxnSpPr>
      <xdr:spPr>
        <a:xfrm flipV="1">
          <a:off x="10287000" y="57150"/>
          <a:ext cx="0" cy="18288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457200</xdr:colOff>
      <xdr:row>0</xdr:row>
      <xdr:rowOff>19050</xdr:rowOff>
    </xdr:from>
    <xdr:to>
      <xdr:col>15</xdr:col>
      <xdr:colOff>9525</xdr:colOff>
      <xdr:row>9</xdr:row>
      <xdr:rowOff>104775</xdr:rowOff>
    </xdr:to>
    <xdr:cxnSp macro="">
      <xdr:nvCxnSpPr>
        <xdr:cNvPr id="58" name="Straight Connector 57"/>
        <xdr:cNvCxnSpPr/>
      </xdr:nvCxnSpPr>
      <xdr:spPr>
        <a:xfrm flipH="1" flipV="1">
          <a:off x="8686800" y="19050"/>
          <a:ext cx="1609725" cy="18859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429454</xdr:colOff>
      <xdr:row>8</xdr:row>
      <xdr:rowOff>98187</xdr:rowOff>
    </xdr:from>
    <xdr:to>
      <xdr:col>15</xdr:col>
      <xdr:colOff>72466</xdr:colOff>
      <xdr:row>9</xdr:row>
      <xdr:rowOff>119260</xdr:rowOff>
    </xdr:to>
    <xdr:sp macro="" textlink="">
      <xdr:nvSpPr>
        <xdr:cNvPr id="59" name="Flowchart: Extract 58"/>
        <xdr:cNvSpPr/>
      </xdr:nvSpPr>
      <xdr:spPr>
        <a:xfrm rot="19281909" flipV="1">
          <a:off x="10030654" y="1698387"/>
          <a:ext cx="328812" cy="221098"/>
        </a:xfrm>
        <a:prstGeom prst="flowChartExtra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13</xdr:col>
      <xdr:colOff>623008</xdr:colOff>
      <xdr:row>2</xdr:row>
      <xdr:rowOff>193438</xdr:rowOff>
    </xdr:from>
    <xdr:to>
      <xdr:col>14</xdr:col>
      <xdr:colOff>302968</xdr:colOff>
      <xdr:row>9</xdr:row>
      <xdr:rowOff>41038</xdr:rowOff>
    </xdr:to>
    <xdr:sp macro="" textlink="">
      <xdr:nvSpPr>
        <xdr:cNvPr id="60" name="Rectangle 59"/>
        <xdr:cNvSpPr/>
      </xdr:nvSpPr>
      <xdr:spPr>
        <a:xfrm rot="3126071">
          <a:off x="9097400" y="1034496"/>
          <a:ext cx="1247775" cy="3657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13</xdr:col>
      <xdr:colOff>152400</xdr:colOff>
      <xdr:row>2</xdr:row>
      <xdr:rowOff>66675</xdr:rowOff>
    </xdr:from>
    <xdr:to>
      <xdr:col>13</xdr:col>
      <xdr:colOff>523875</xdr:colOff>
      <xdr:row>3</xdr:row>
      <xdr:rowOff>123825</xdr:rowOff>
    </xdr:to>
    <xdr:sp macro="" textlink="">
      <xdr:nvSpPr>
        <xdr:cNvPr id="61" name="Isosceles Triangle 60"/>
        <xdr:cNvSpPr/>
      </xdr:nvSpPr>
      <xdr:spPr>
        <a:xfrm rot="19341610">
          <a:off x="9067800" y="466725"/>
          <a:ext cx="371475" cy="2571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664251</xdr:colOff>
      <xdr:row>1</xdr:row>
      <xdr:rowOff>111582</xdr:rowOff>
    </xdr:from>
    <xdr:to>
      <xdr:col>13</xdr:col>
      <xdr:colOff>435651</xdr:colOff>
      <xdr:row>2</xdr:row>
      <xdr:rowOff>185877</xdr:rowOff>
    </xdr:to>
    <xdr:sp macro="" textlink="">
      <xdr:nvSpPr>
        <xdr:cNvPr id="62" name="Isosceles Triangle 61"/>
        <xdr:cNvSpPr/>
      </xdr:nvSpPr>
      <xdr:spPr>
        <a:xfrm rot="8138097">
          <a:off x="8893851" y="311607"/>
          <a:ext cx="457200" cy="27432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68581</xdr:colOff>
      <xdr:row>5</xdr:row>
      <xdr:rowOff>152400</xdr:rowOff>
    </xdr:from>
    <xdr:to>
      <xdr:col>14</xdr:col>
      <xdr:colOff>114300</xdr:colOff>
      <xdr:row>6</xdr:row>
      <xdr:rowOff>9525</xdr:rowOff>
    </xdr:to>
    <xdr:sp macro="" textlink="">
      <xdr:nvSpPr>
        <xdr:cNvPr id="63" name="Oval 62"/>
        <xdr:cNvSpPr/>
      </xdr:nvSpPr>
      <xdr:spPr>
        <a:xfrm>
          <a:off x="9669781" y="1152525"/>
          <a:ext cx="45719" cy="5715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109538</xdr:colOff>
      <xdr:row>4</xdr:row>
      <xdr:rowOff>195262</xdr:rowOff>
    </xdr:from>
    <xdr:to>
      <xdr:col>15</xdr:col>
      <xdr:colOff>128588</xdr:colOff>
      <xdr:row>9</xdr:row>
      <xdr:rowOff>61912</xdr:rowOff>
    </xdr:to>
    <xdr:sp macro="" textlink="">
      <xdr:nvSpPr>
        <xdr:cNvPr id="64" name="Arc 63"/>
        <xdr:cNvSpPr/>
      </xdr:nvSpPr>
      <xdr:spPr>
        <a:xfrm rot="18153579">
          <a:off x="9629775" y="1076325"/>
          <a:ext cx="866775" cy="704850"/>
        </a:xfrm>
        <a:prstGeom prst="arc">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en-US" sz="1100"/>
        </a:p>
      </xdr:txBody>
    </xdr:sp>
    <xdr:clientData/>
  </xdr:twoCellAnchor>
  <xdr:twoCellAnchor>
    <xdr:from>
      <xdr:col>14</xdr:col>
      <xdr:colOff>361950</xdr:colOff>
      <xdr:row>4</xdr:row>
      <xdr:rowOff>104775</xdr:rowOff>
    </xdr:from>
    <xdr:to>
      <xdr:col>14</xdr:col>
      <xdr:colOff>533400</xdr:colOff>
      <xdr:row>5</xdr:row>
      <xdr:rowOff>152400</xdr:rowOff>
    </xdr:to>
    <xdr:sp macro="" textlink="">
      <xdr:nvSpPr>
        <xdr:cNvPr id="65" name="TextBox 64"/>
        <xdr:cNvSpPr txBox="1"/>
      </xdr:nvSpPr>
      <xdr:spPr>
        <a:xfrm>
          <a:off x="9963150" y="904875"/>
          <a:ext cx="1714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l-GR" sz="1100" b="1">
              <a:latin typeface="Times New Roman"/>
              <a:cs typeface="Times New Roman"/>
            </a:rPr>
            <a:t>α</a:t>
          </a:r>
          <a:endParaRPr lang="en-US" sz="1100" b="1"/>
        </a:p>
      </xdr:txBody>
    </xdr:sp>
    <xdr:clientData/>
  </xdr:twoCellAnchor>
  <xdr:twoCellAnchor>
    <xdr:from>
      <xdr:col>11</xdr:col>
      <xdr:colOff>66675</xdr:colOff>
      <xdr:row>14</xdr:row>
      <xdr:rowOff>38100</xdr:rowOff>
    </xdr:from>
    <xdr:to>
      <xdr:col>13</xdr:col>
      <xdr:colOff>161925</xdr:colOff>
      <xdr:row>14</xdr:row>
      <xdr:rowOff>38100</xdr:rowOff>
    </xdr:to>
    <xdr:cxnSp macro="">
      <xdr:nvCxnSpPr>
        <xdr:cNvPr id="67" name="Straight Connector 66"/>
        <xdr:cNvCxnSpPr/>
      </xdr:nvCxnSpPr>
      <xdr:spPr>
        <a:xfrm>
          <a:off x="7610475" y="2838450"/>
          <a:ext cx="1466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533400</xdr:colOff>
      <xdr:row>12</xdr:row>
      <xdr:rowOff>76200</xdr:rowOff>
    </xdr:from>
    <xdr:to>
      <xdr:col>12</xdr:col>
      <xdr:colOff>247650</xdr:colOff>
      <xdr:row>15</xdr:row>
      <xdr:rowOff>9525</xdr:rowOff>
    </xdr:to>
    <xdr:sp macro="" textlink="">
      <xdr:nvSpPr>
        <xdr:cNvPr id="68" name="Arc 67"/>
        <xdr:cNvSpPr/>
      </xdr:nvSpPr>
      <xdr:spPr>
        <a:xfrm rot="2332804">
          <a:off x="8077200" y="2476500"/>
          <a:ext cx="400050" cy="533400"/>
        </a:xfrm>
        <a:prstGeom prst="arc">
          <a:avLst/>
        </a:prstGeom>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en-US" sz="1100"/>
        </a:p>
      </xdr:txBody>
    </xdr:sp>
    <xdr:clientData/>
  </xdr:twoCellAnchor>
  <xdr:twoCellAnchor>
    <xdr:from>
      <xdr:col>12</xdr:col>
      <xdr:colOff>266699</xdr:colOff>
      <xdr:row>12</xdr:row>
      <xdr:rowOff>95250</xdr:rowOff>
    </xdr:from>
    <xdr:to>
      <xdr:col>12</xdr:col>
      <xdr:colOff>466724</xdr:colOff>
      <xdr:row>14</xdr:row>
      <xdr:rowOff>76200</xdr:rowOff>
    </xdr:to>
    <xdr:sp macro="" textlink="">
      <xdr:nvSpPr>
        <xdr:cNvPr id="69" name="TextBox 68"/>
        <xdr:cNvSpPr txBox="1"/>
      </xdr:nvSpPr>
      <xdr:spPr>
        <a:xfrm>
          <a:off x="8496299" y="2495550"/>
          <a:ext cx="2000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l-GR" sz="1100" b="1">
              <a:latin typeface="Times New Roman"/>
              <a:cs typeface="Times New Roman"/>
            </a:rPr>
            <a:t>β</a:t>
          </a:r>
          <a:endParaRPr lang="en-US" sz="1100" b="1"/>
        </a:p>
      </xdr:txBody>
    </xdr:sp>
    <xdr:clientData/>
  </xdr:twoCellAnchor>
  <xdr:twoCellAnchor>
    <xdr:from>
      <xdr:col>15</xdr:col>
      <xdr:colOff>249539</xdr:colOff>
      <xdr:row>9</xdr:row>
      <xdr:rowOff>43178</xdr:rowOff>
    </xdr:from>
    <xdr:to>
      <xdr:col>15</xdr:col>
      <xdr:colOff>554339</xdr:colOff>
      <xdr:row>15</xdr:row>
      <xdr:rowOff>94401</xdr:rowOff>
    </xdr:to>
    <xdr:sp macro="" textlink="">
      <xdr:nvSpPr>
        <xdr:cNvPr id="70" name="Down Arrow 69"/>
        <xdr:cNvSpPr/>
      </xdr:nvSpPr>
      <xdr:spPr>
        <a:xfrm rot="19621914">
          <a:off x="10536539" y="1843403"/>
          <a:ext cx="304800" cy="1251373"/>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15</xdr:col>
      <xdr:colOff>257175</xdr:colOff>
      <xdr:row>14</xdr:row>
      <xdr:rowOff>180975</xdr:rowOff>
    </xdr:from>
    <xdr:to>
      <xdr:col>16</xdr:col>
      <xdr:colOff>609601</xdr:colOff>
      <xdr:row>14</xdr:row>
      <xdr:rowOff>190500</xdr:rowOff>
    </xdr:to>
    <xdr:cxnSp macro="">
      <xdr:nvCxnSpPr>
        <xdr:cNvPr id="72" name="Straight Connector 71"/>
        <xdr:cNvCxnSpPr/>
      </xdr:nvCxnSpPr>
      <xdr:spPr>
        <a:xfrm flipH="1">
          <a:off x="10544175" y="2981325"/>
          <a:ext cx="1038226" cy="9525"/>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590551</xdr:colOff>
      <xdr:row>3</xdr:row>
      <xdr:rowOff>19050</xdr:rowOff>
    </xdr:from>
    <xdr:to>
      <xdr:col>16</xdr:col>
      <xdr:colOff>600075</xdr:colOff>
      <xdr:row>14</xdr:row>
      <xdr:rowOff>180975</xdr:rowOff>
    </xdr:to>
    <xdr:cxnSp macro="">
      <xdr:nvCxnSpPr>
        <xdr:cNvPr id="77" name="Straight Connector 76"/>
        <xdr:cNvCxnSpPr/>
      </xdr:nvCxnSpPr>
      <xdr:spPr>
        <a:xfrm flipH="1">
          <a:off x="11563351" y="619125"/>
          <a:ext cx="9524" cy="2362200"/>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76200</xdr:colOff>
      <xdr:row>5</xdr:row>
      <xdr:rowOff>171451</xdr:rowOff>
    </xdr:from>
    <xdr:to>
      <xdr:col>17</xdr:col>
      <xdr:colOff>104775</xdr:colOff>
      <xdr:row>6</xdr:row>
      <xdr:rowOff>9525</xdr:rowOff>
    </xdr:to>
    <xdr:cxnSp macro="">
      <xdr:nvCxnSpPr>
        <xdr:cNvPr id="79" name="Straight Connector 78"/>
        <xdr:cNvCxnSpPr/>
      </xdr:nvCxnSpPr>
      <xdr:spPr>
        <a:xfrm>
          <a:off x="9677400" y="1171576"/>
          <a:ext cx="2085975" cy="38099"/>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676275</xdr:colOff>
      <xdr:row>9</xdr:row>
      <xdr:rowOff>85725</xdr:rowOff>
    </xdr:from>
    <xdr:to>
      <xdr:col>17</xdr:col>
      <xdr:colOff>171450</xdr:colOff>
      <xdr:row>9</xdr:row>
      <xdr:rowOff>123825</xdr:rowOff>
    </xdr:to>
    <xdr:cxnSp macro="">
      <xdr:nvCxnSpPr>
        <xdr:cNvPr id="82" name="Straight Connector 81"/>
        <xdr:cNvCxnSpPr/>
      </xdr:nvCxnSpPr>
      <xdr:spPr>
        <a:xfrm>
          <a:off x="10277475" y="1885950"/>
          <a:ext cx="1552575" cy="38100"/>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609600</xdr:colOff>
      <xdr:row>4</xdr:row>
      <xdr:rowOff>19050</xdr:rowOff>
    </xdr:from>
    <xdr:to>
      <xdr:col>20</xdr:col>
      <xdr:colOff>638175</xdr:colOff>
      <xdr:row>20</xdr:row>
      <xdr:rowOff>28575</xdr:rowOff>
    </xdr:to>
    <xdr:cxnSp macro="">
      <xdr:nvCxnSpPr>
        <xdr:cNvPr id="86" name="Straight Connector 85"/>
        <xdr:cNvCxnSpPr/>
      </xdr:nvCxnSpPr>
      <xdr:spPr>
        <a:xfrm flipH="1">
          <a:off x="14325600" y="819150"/>
          <a:ext cx="28575" cy="3209925"/>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466725</xdr:colOff>
      <xdr:row>11</xdr:row>
      <xdr:rowOff>0</xdr:rowOff>
    </xdr:from>
    <xdr:to>
      <xdr:col>21</xdr:col>
      <xdr:colOff>676275</xdr:colOff>
      <xdr:row>12</xdr:row>
      <xdr:rowOff>123825</xdr:rowOff>
    </xdr:to>
    <xdr:sp macro="" textlink="">
      <xdr:nvSpPr>
        <xdr:cNvPr id="89" name="TextBox 88"/>
        <xdr:cNvSpPr txBox="1"/>
      </xdr:nvSpPr>
      <xdr:spPr>
        <a:xfrm>
          <a:off x="14182725" y="2200275"/>
          <a:ext cx="8953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latin typeface="Times New Roman" pitchFamily="18" charset="0"/>
              <a:cs typeface="Times New Roman" pitchFamily="18" charset="0"/>
            </a:rPr>
            <a:t>H</a:t>
          </a:r>
        </a:p>
      </xdr:txBody>
    </xdr:sp>
    <xdr:clientData/>
  </xdr:twoCellAnchor>
  <xdr:twoCellAnchor>
    <xdr:from>
      <xdr:col>16</xdr:col>
      <xdr:colOff>409575</xdr:colOff>
      <xdr:row>11</xdr:row>
      <xdr:rowOff>28575</xdr:rowOff>
    </xdr:from>
    <xdr:to>
      <xdr:col>17</xdr:col>
      <xdr:colOff>390525</xdr:colOff>
      <xdr:row>12</xdr:row>
      <xdr:rowOff>152400</xdr:rowOff>
    </xdr:to>
    <xdr:sp macro="" textlink="">
      <xdr:nvSpPr>
        <xdr:cNvPr id="90" name="TextBox 89"/>
        <xdr:cNvSpPr txBox="1"/>
      </xdr:nvSpPr>
      <xdr:spPr>
        <a:xfrm>
          <a:off x="11382375" y="2228850"/>
          <a:ext cx="6667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600" b="1">
              <a:latin typeface="Times New Roman" pitchFamily="18" charset="0"/>
              <a:cs typeface="Times New Roman" pitchFamily="18" charset="0"/>
            </a:rPr>
            <a:t>h</a:t>
          </a:r>
          <a:r>
            <a:rPr lang="en-US" sz="1100" b="1">
              <a:latin typeface="Times New Roman" pitchFamily="18" charset="0"/>
              <a:cs typeface="Times New Roman" pitchFamily="18" charset="0"/>
            </a:rPr>
            <a:t>np</a:t>
          </a:r>
        </a:p>
      </xdr:txBody>
    </xdr:sp>
    <xdr:clientData/>
  </xdr:twoCellAnchor>
  <xdr:twoCellAnchor>
    <xdr:from>
      <xdr:col>16</xdr:col>
      <xdr:colOff>457200</xdr:colOff>
      <xdr:row>6</xdr:row>
      <xdr:rowOff>95250</xdr:rowOff>
    </xdr:from>
    <xdr:to>
      <xdr:col>17</xdr:col>
      <xdr:colOff>76200</xdr:colOff>
      <xdr:row>8</xdr:row>
      <xdr:rowOff>19050</xdr:rowOff>
    </xdr:to>
    <xdr:sp macro="" textlink="">
      <xdr:nvSpPr>
        <xdr:cNvPr id="91" name="TextBox 90"/>
        <xdr:cNvSpPr txBox="1"/>
      </xdr:nvSpPr>
      <xdr:spPr>
        <a:xfrm>
          <a:off x="11430000" y="1295400"/>
          <a:ext cx="3048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az-Cyrl-AZ" sz="1400" b="1">
              <a:latin typeface="Times New Roman"/>
              <a:cs typeface="Times New Roman"/>
            </a:rPr>
            <a:t>ц</a:t>
          </a:r>
          <a:endParaRPr lang="en-US" sz="1400" b="1">
            <a:latin typeface="Times New Roman" pitchFamily="18" charset="0"/>
            <a:cs typeface="Times New Roman" pitchFamily="18" charset="0"/>
          </a:endParaRPr>
        </a:p>
      </xdr:txBody>
    </xdr:sp>
    <xdr:clientData/>
  </xdr:twoCellAnchor>
  <xdr:twoCellAnchor>
    <xdr:from>
      <xdr:col>10</xdr:col>
      <xdr:colOff>676275</xdr:colOff>
      <xdr:row>24</xdr:row>
      <xdr:rowOff>9525</xdr:rowOff>
    </xdr:from>
    <xdr:to>
      <xdr:col>20</xdr:col>
      <xdr:colOff>28575</xdr:colOff>
      <xdr:row>24</xdr:row>
      <xdr:rowOff>28575</xdr:rowOff>
    </xdr:to>
    <xdr:cxnSp macro="">
      <xdr:nvCxnSpPr>
        <xdr:cNvPr id="92" name="Straight Connector 91"/>
        <xdr:cNvCxnSpPr/>
      </xdr:nvCxnSpPr>
      <xdr:spPr>
        <a:xfrm flipV="1">
          <a:off x="7534275" y="4867275"/>
          <a:ext cx="6210300" cy="19050"/>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57150</xdr:colOff>
      <xdr:row>23</xdr:row>
      <xdr:rowOff>57150</xdr:rowOff>
    </xdr:from>
    <xdr:to>
      <xdr:col>15</xdr:col>
      <xdr:colOff>361950</xdr:colOff>
      <xdr:row>24</xdr:row>
      <xdr:rowOff>142875</xdr:rowOff>
    </xdr:to>
    <xdr:sp macro="" textlink="">
      <xdr:nvSpPr>
        <xdr:cNvPr id="96" name="TextBox 95"/>
        <xdr:cNvSpPr txBox="1"/>
      </xdr:nvSpPr>
      <xdr:spPr>
        <a:xfrm>
          <a:off x="10344150" y="4676775"/>
          <a:ext cx="3048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latin typeface="Times New Roman" pitchFamily="18" charset="0"/>
              <a:cs typeface="Times New Roman" pitchFamily="18" charset="0"/>
            </a:rPr>
            <a:t>L</a:t>
          </a:r>
        </a:p>
      </xdr:txBody>
    </xdr:sp>
    <xdr:clientData/>
  </xdr:twoCellAnchor>
  <xdr:twoCellAnchor>
    <xdr:from>
      <xdr:col>15</xdr:col>
      <xdr:colOff>466725</xdr:colOff>
      <xdr:row>12</xdr:row>
      <xdr:rowOff>152400</xdr:rowOff>
    </xdr:from>
    <xdr:to>
      <xdr:col>15</xdr:col>
      <xdr:colOff>533400</xdr:colOff>
      <xdr:row>13</xdr:row>
      <xdr:rowOff>28575</xdr:rowOff>
    </xdr:to>
    <xdr:sp macro="" textlink="">
      <xdr:nvSpPr>
        <xdr:cNvPr id="97" name="Oval 96"/>
        <xdr:cNvSpPr/>
      </xdr:nvSpPr>
      <xdr:spPr>
        <a:xfrm>
          <a:off x="10753725" y="2552700"/>
          <a:ext cx="66675" cy="76200"/>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676276</xdr:colOff>
      <xdr:row>12</xdr:row>
      <xdr:rowOff>180975</xdr:rowOff>
    </xdr:from>
    <xdr:to>
      <xdr:col>15</xdr:col>
      <xdr:colOff>0</xdr:colOff>
      <xdr:row>19</xdr:row>
      <xdr:rowOff>200025</xdr:rowOff>
    </xdr:to>
    <xdr:cxnSp macro="">
      <xdr:nvCxnSpPr>
        <xdr:cNvPr id="98" name="Straight Connector 97"/>
        <xdr:cNvCxnSpPr/>
      </xdr:nvCxnSpPr>
      <xdr:spPr>
        <a:xfrm flipH="1">
          <a:off x="10277476" y="2581275"/>
          <a:ext cx="9524" cy="1419225"/>
        </a:xfrm>
        <a:prstGeom prst="line">
          <a:avLst/>
        </a:prstGeom>
        <a:ln w="1270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457200</xdr:colOff>
      <xdr:row>16</xdr:row>
      <xdr:rowOff>19050</xdr:rowOff>
    </xdr:from>
    <xdr:to>
      <xdr:col>15</xdr:col>
      <xdr:colOff>161925</xdr:colOff>
      <xdr:row>17</xdr:row>
      <xdr:rowOff>142875</xdr:rowOff>
    </xdr:to>
    <xdr:sp macro="" textlink="">
      <xdr:nvSpPr>
        <xdr:cNvPr id="101" name="TextBox 100"/>
        <xdr:cNvSpPr txBox="1"/>
      </xdr:nvSpPr>
      <xdr:spPr>
        <a:xfrm>
          <a:off x="10058400" y="3219450"/>
          <a:ext cx="3905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latin typeface="Times New Roman" pitchFamily="18" charset="0"/>
              <a:cs typeface="Times New Roman" pitchFamily="18" charset="0"/>
            </a:rPr>
            <a:t>R</a:t>
          </a:r>
          <a:r>
            <a:rPr lang="en-US" sz="1100" b="1">
              <a:latin typeface="Times New Roman"/>
              <a:cs typeface="Times New Roman"/>
            </a:rPr>
            <a:t>̽</a:t>
          </a:r>
          <a:endParaRPr lang="en-US" sz="1100" b="1">
            <a:latin typeface="Times New Roman" pitchFamily="18" charset="0"/>
            <a:cs typeface="Times New Roman" pitchFamily="18" charset="0"/>
          </a:endParaRPr>
        </a:p>
      </xdr:txBody>
    </xdr:sp>
    <xdr:clientData/>
  </xdr:twoCellAnchor>
  <xdr:twoCellAnchor>
    <xdr:from>
      <xdr:col>13</xdr:col>
      <xdr:colOff>676275</xdr:colOff>
      <xdr:row>13</xdr:row>
      <xdr:rowOff>0</xdr:rowOff>
    </xdr:from>
    <xdr:to>
      <xdr:col>14</xdr:col>
      <xdr:colOff>9525</xdr:colOff>
      <xdr:row>15</xdr:row>
      <xdr:rowOff>57150</xdr:rowOff>
    </xdr:to>
    <xdr:cxnSp macro="">
      <xdr:nvCxnSpPr>
        <xdr:cNvPr id="103" name="Straight Arrow Connector 102"/>
        <xdr:cNvCxnSpPr/>
      </xdr:nvCxnSpPr>
      <xdr:spPr>
        <a:xfrm>
          <a:off x="9591675" y="2600325"/>
          <a:ext cx="19050" cy="457200"/>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561975</xdr:colOff>
      <xdr:row>13</xdr:row>
      <xdr:rowOff>133350</xdr:rowOff>
    </xdr:from>
    <xdr:to>
      <xdr:col>14</xdr:col>
      <xdr:colOff>180975</xdr:colOff>
      <xdr:row>14</xdr:row>
      <xdr:rowOff>123825</xdr:rowOff>
    </xdr:to>
    <xdr:sp macro="" textlink="">
      <xdr:nvSpPr>
        <xdr:cNvPr id="105" name="TextBox 104"/>
        <xdr:cNvSpPr txBox="1"/>
      </xdr:nvSpPr>
      <xdr:spPr>
        <a:xfrm>
          <a:off x="9477375" y="2733675"/>
          <a:ext cx="3048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az-Cyrl-AZ" sz="1000" b="1">
              <a:latin typeface="Times New Roman"/>
              <a:cs typeface="Times New Roman"/>
            </a:rPr>
            <a:t>ц</a:t>
          </a:r>
          <a:endParaRPr lang="en-US" sz="1000" b="1">
            <a:latin typeface="Times New Roman" pitchFamily="18" charset="0"/>
            <a:cs typeface="Times New Roman"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xdr:colOff>
      <xdr:row>94</xdr:row>
      <xdr:rowOff>57150</xdr:rowOff>
    </xdr:from>
    <xdr:to>
      <xdr:col>13</xdr:col>
      <xdr:colOff>0</xdr:colOff>
      <xdr:row>102</xdr:row>
      <xdr:rowOff>190500</xdr:rowOff>
    </xdr:to>
    <xdr:sp macro="" textlink="">
      <xdr:nvSpPr>
        <xdr:cNvPr id="4" name="Right Triangle 3"/>
        <xdr:cNvSpPr/>
      </xdr:nvSpPr>
      <xdr:spPr>
        <a:xfrm>
          <a:off x="4133850" y="19326225"/>
          <a:ext cx="4848225" cy="1733550"/>
        </a:xfrm>
        <a:prstGeom prst="r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7</xdr:col>
      <xdr:colOff>676275</xdr:colOff>
      <xdr:row>106</xdr:row>
      <xdr:rowOff>0</xdr:rowOff>
    </xdr:from>
    <xdr:to>
      <xdr:col>13</xdr:col>
      <xdr:colOff>1</xdr:colOff>
      <xdr:row>106</xdr:row>
      <xdr:rowOff>9525</xdr:rowOff>
    </xdr:to>
    <xdr:cxnSp macro="">
      <xdr:nvCxnSpPr>
        <xdr:cNvPr id="6" name="Straight Arrow Connector 5"/>
        <xdr:cNvCxnSpPr/>
      </xdr:nvCxnSpPr>
      <xdr:spPr>
        <a:xfrm flipH="1" flipV="1">
          <a:off x="5543550" y="21669375"/>
          <a:ext cx="3438526" cy="9525"/>
        </a:xfrm>
        <a:prstGeom prst="straightConnector1">
          <a:avLst/>
        </a:prstGeom>
        <a:ln w="15875">
          <a:solidFill>
            <a:schemeClr val="tx1"/>
          </a:solidFill>
          <a:prstDash val="dash"/>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676275</xdr:colOff>
      <xdr:row>96</xdr:row>
      <xdr:rowOff>161925</xdr:rowOff>
    </xdr:from>
    <xdr:to>
      <xdr:col>7</xdr:col>
      <xdr:colOff>676275</xdr:colOff>
      <xdr:row>103</xdr:row>
      <xdr:rowOff>9526</xdr:rowOff>
    </xdr:to>
    <xdr:cxnSp macro="">
      <xdr:nvCxnSpPr>
        <xdr:cNvPr id="8" name="Straight Arrow Connector 7"/>
        <xdr:cNvCxnSpPr/>
      </xdr:nvCxnSpPr>
      <xdr:spPr>
        <a:xfrm>
          <a:off x="5543550" y="19831050"/>
          <a:ext cx="0" cy="1257301"/>
        </a:xfrm>
        <a:prstGeom prst="straightConnector1">
          <a:avLst/>
        </a:prstGeom>
        <a:ln w="15875">
          <a:solidFill>
            <a:schemeClr val="tx1"/>
          </a:solidFill>
          <a:prstDash val="dash"/>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371475</xdr:colOff>
      <xdr:row>98</xdr:row>
      <xdr:rowOff>104775</xdr:rowOff>
    </xdr:from>
    <xdr:to>
      <xdr:col>7</xdr:col>
      <xdr:colOff>638175</xdr:colOff>
      <xdr:row>100</xdr:row>
      <xdr:rowOff>76200</xdr:rowOff>
    </xdr:to>
    <xdr:sp macro="" textlink="">
      <xdr:nvSpPr>
        <xdr:cNvPr id="10" name="TextBox 9"/>
        <xdr:cNvSpPr txBox="1"/>
      </xdr:nvSpPr>
      <xdr:spPr>
        <a:xfrm>
          <a:off x="5238750" y="20173950"/>
          <a:ext cx="266700"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100" b="1">
              <a:latin typeface="Times New Roman" pitchFamily="18" charset="0"/>
              <a:cs typeface="Times New Roman" pitchFamily="18" charset="0"/>
            </a:rPr>
            <a:t>H</a:t>
          </a:r>
        </a:p>
      </xdr:txBody>
    </xdr:sp>
    <xdr:clientData/>
  </xdr:twoCellAnchor>
  <xdr:twoCellAnchor>
    <xdr:from>
      <xdr:col>8</xdr:col>
      <xdr:colOff>57150</xdr:colOff>
      <xdr:row>102</xdr:row>
      <xdr:rowOff>85725</xdr:rowOff>
    </xdr:from>
    <xdr:to>
      <xdr:col>12</xdr:col>
      <xdr:colOff>676275</xdr:colOff>
      <xdr:row>103</xdr:row>
      <xdr:rowOff>9525</xdr:rowOff>
    </xdr:to>
    <xdr:sp macro="" textlink="">
      <xdr:nvSpPr>
        <xdr:cNvPr id="11" name="Rectangle 10"/>
        <xdr:cNvSpPr/>
      </xdr:nvSpPr>
      <xdr:spPr>
        <a:xfrm>
          <a:off x="5610225" y="20955000"/>
          <a:ext cx="3362325" cy="133350"/>
        </a:xfrm>
        <a:prstGeom prst="rect">
          <a:avLst/>
        </a:prstGeom>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352425</xdr:colOff>
      <xdr:row>98</xdr:row>
      <xdr:rowOff>47625</xdr:rowOff>
    </xdr:from>
    <xdr:to>
      <xdr:col>11</xdr:col>
      <xdr:colOff>676275</xdr:colOff>
      <xdr:row>103</xdr:row>
      <xdr:rowOff>38100</xdr:rowOff>
    </xdr:to>
    <xdr:cxnSp macro="">
      <xdr:nvCxnSpPr>
        <xdr:cNvPr id="13" name="Straight Arrow Connector 12"/>
        <xdr:cNvCxnSpPr/>
      </xdr:nvCxnSpPr>
      <xdr:spPr>
        <a:xfrm flipV="1">
          <a:off x="6591300" y="20116800"/>
          <a:ext cx="1695450" cy="100012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657225</xdr:colOff>
      <xdr:row>112</xdr:row>
      <xdr:rowOff>161925</xdr:rowOff>
    </xdr:from>
    <xdr:to>
      <xdr:col>14</xdr:col>
      <xdr:colOff>390525</xdr:colOff>
      <xdr:row>137</xdr:row>
      <xdr:rowOff>9525</xdr:rowOff>
    </xdr:to>
    <xdr:grpSp>
      <xdr:nvGrpSpPr>
        <xdr:cNvPr id="1044" name="Group 20"/>
        <xdr:cNvGrpSpPr>
          <a:grpSpLocks/>
        </xdr:cNvGrpSpPr>
      </xdr:nvGrpSpPr>
      <xdr:grpSpPr bwMode="auto">
        <a:xfrm>
          <a:off x="4772025" y="23269575"/>
          <a:ext cx="5286375" cy="4857750"/>
          <a:chOff x="107627775" y="106272150"/>
          <a:chExt cx="5292000" cy="4860000"/>
        </a:xfrm>
      </xdr:grpSpPr>
      <xdr:grpSp>
        <xdr:nvGrpSpPr>
          <xdr:cNvPr id="1045" name="Group 21"/>
          <xdr:cNvGrpSpPr>
            <a:grpSpLocks/>
          </xdr:cNvGrpSpPr>
        </xdr:nvGrpSpPr>
        <xdr:grpSpPr bwMode="auto">
          <a:xfrm>
            <a:off x="107627775" y="108396150"/>
            <a:ext cx="3348000" cy="2736000"/>
            <a:chOff x="107555775" y="108576150"/>
            <a:chExt cx="3348000" cy="2736000"/>
          </a:xfrm>
        </xdr:grpSpPr>
        <xdr:grpSp>
          <xdr:nvGrpSpPr>
            <xdr:cNvPr id="1046" name="Group 22"/>
            <xdr:cNvGrpSpPr>
              <a:grpSpLocks/>
            </xdr:cNvGrpSpPr>
          </xdr:nvGrpSpPr>
          <xdr:grpSpPr bwMode="auto">
            <a:xfrm>
              <a:off x="108347775" y="108576150"/>
              <a:ext cx="1764000" cy="432000"/>
              <a:chOff x="108347775" y="108612150"/>
              <a:chExt cx="1764000" cy="432000"/>
            </a:xfrm>
          </xdr:grpSpPr>
          <xdr:grpSp>
            <xdr:nvGrpSpPr>
              <xdr:cNvPr id="1047" name="Group 23"/>
              <xdr:cNvGrpSpPr>
                <a:grpSpLocks/>
              </xdr:cNvGrpSpPr>
            </xdr:nvGrpSpPr>
            <xdr:grpSpPr bwMode="auto">
              <a:xfrm rot="-2077376">
                <a:off x="108347775" y="108612150"/>
                <a:ext cx="1764000" cy="396000"/>
                <a:chOff x="108311775" y="108792150"/>
                <a:chExt cx="1764000" cy="396000"/>
              </a:xfrm>
            </xdr:grpSpPr>
            <xdr:sp macro="" textlink="">
              <xdr:nvSpPr>
                <xdr:cNvPr id="1048" name="Oval 24"/>
                <xdr:cNvSpPr>
                  <a:spLocks noChangeArrowheads="1"/>
                </xdr:cNvSpPr>
              </xdr:nvSpPr>
              <xdr:spPr bwMode="auto">
                <a:xfrm>
                  <a:off x="108311775" y="108900150"/>
                  <a:ext cx="1440000" cy="252000"/>
                </a:xfrm>
                <a:prstGeom prst="ellipse">
                  <a:avLst/>
                </a:prstGeom>
                <a:solidFill>
                  <a:srgbClr val="FF6600"/>
                </a:solidFill>
                <a:ln w="9525" algn="in">
                  <a:solidFill>
                    <a:srgbClr val="000000"/>
                  </a:solidFill>
                  <a:round/>
                  <a:headEnd/>
                  <a:tailEnd/>
                </a:ln>
                <a:effectLst/>
              </xdr:spPr>
            </xdr:sp>
            <xdr:sp macro="" textlink="">
              <xdr:nvSpPr>
                <xdr:cNvPr id="1049" name="Line 25"/>
                <xdr:cNvSpPr>
                  <a:spLocks noChangeShapeType="1"/>
                </xdr:cNvSpPr>
              </xdr:nvSpPr>
              <xdr:spPr bwMode="auto">
                <a:xfrm flipH="1">
                  <a:off x="109751775" y="108792150"/>
                  <a:ext cx="324000" cy="252000"/>
                </a:xfrm>
                <a:prstGeom prst="line">
                  <a:avLst/>
                </a:prstGeom>
                <a:noFill/>
                <a:ln w="9525">
                  <a:solidFill>
                    <a:srgbClr val="000000"/>
                  </a:solidFill>
                  <a:round/>
                  <a:headEnd/>
                  <a:tailEnd/>
                </a:ln>
                <a:effectLst/>
              </xdr:spPr>
            </xdr:sp>
            <xdr:sp macro="" textlink="">
              <xdr:nvSpPr>
                <xdr:cNvPr id="1050" name="Line 26"/>
                <xdr:cNvSpPr>
                  <a:spLocks noChangeShapeType="1"/>
                </xdr:cNvSpPr>
              </xdr:nvSpPr>
              <xdr:spPr bwMode="auto">
                <a:xfrm>
                  <a:off x="109751775" y="109044150"/>
                  <a:ext cx="324000" cy="144000"/>
                </a:xfrm>
                <a:prstGeom prst="line">
                  <a:avLst/>
                </a:prstGeom>
                <a:noFill/>
                <a:ln w="9525">
                  <a:solidFill>
                    <a:srgbClr val="000000"/>
                  </a:solidFill>
                  <a:round/>
                  <a:headEnd/>
                  <a:tailEnd/>
                </a:ln>
                <a:effectLst/>
              </xdr:spPr>
            </xdr:sp>
            <xdr:sp macro="" textlink="">
              <xdr:nvSpPr>
                <xdr:cNvPr id="1051" name="Line 27"/>
                <xdr:cNvSpPr>
                  <a:spLocks noChangeShapeType="1"/>
                </xdr:cNvSpPr>
              </xdr:nvSpPr>
              <xdr:spPr bwMode="auto">
                <a:xfrm>
                  <a:off x="110075775" y="108792150"/>
                  <a:ext cx="0" cy="360000"/>
                </a:xfrm>
                <a:prstGeom prst="line">
                  <a:avLst/>
                </a:prstGeom>
                <a:noFill/>
                <a:ln w="9525">
                  <a:solidFill>
                    <a:srgbClr val="000000"/>
                  </a:solidFill>
                  <a:round/>
                  <a:headEnd/>
                  <a:tailEnd/>
                </a:ln>
                <a:effectLst/>
              </xdr:spPr>
            </xdr:sp>
          </xdr:grpSp>
          <xdr:sp macro="" textlink="">
            <xdr:nvSpPr>
              <xdr:cNvPr id="1052" name="Oval 28"/>
              <xdr:cNvSpPr>
                <a:spLocks noChangeArrowheads="1"/>
              </xdr:cNvSpPr>
            </xdr:nvSpPr>
            <xdr:spPr bwMode="auto">
              <a:xfrm>
                <a:off x="108959775" y="109008150"/>
                <a:ext cx="36000" cy="36000"/>
              </a:xfrm>
              <a:prstGeom prst="ellipse">
                <a:avLst/>
              </a:prstGeom>
              <a:noFill/>
              <a:ln w="9525" algn="in">
                <a:solidFill>
                  <a:srgbClr val="000000"/>
                </a:solidFill>
                <a:round/>
                <a:headEnd/>
                <a:tailEnd/>
              </a:ln>
              <a:effectLst/>
            </xdr:spPr>
          </xdr:sp>
        </xdr:grpSp>
        <xdr:sp macro="" textlink="">
          <xdr:nvSpPr>
            <xdr:cNvPr id="1053" name="Rectangle 29"/>
            <xdr:cNvSpPr>
              <a:spLocks noChangeArrowheads="1"/>
            </xdr:cNvSpPr>
          </xdr:nvSpPr>
          <xdr:spPr bwMode="auto">
            <a:xfrm>
              <a:off x="107555775" y="110160150"/>
              <a:ext cx="3348000" cy="1152000"/>
            </a:xfrm>
            <a:prstGeom prst="rect">
              <a:avLst/>
            </a:prstGeom>
            <a:gradFill rotWithShape="1">
              <a:gsLst>
                <a:gs pos="0">
                  <a:srgbClr val="FFFFFF"/>
                </a:gs>
                <a:gs pos="100000">
                  <a:srgbClr val="FFFFFF">
                    <a:gamma/>
                    <a:shade val="46275"/>
                    <a:invGamma/>
                  </a:srgbClr>
                </a:gs>
              </a:gsLst>
              <a:lin ang="5400000" scaled="1"/>
            </a:gradFill>
            <a:ln w="9525" algn="in">
              <a:solidFill>
                <a:srgbClr val="000000"/>
              </a:solidFill>
              <a:miter lim="800000"/>
              <a:headEnd/>
              <a:tailEnd/>
            </a:ln>
            <a:effectLst/>
          </xdr:spPr>
        </xdr:sp>
        <xdr:sp macro="" textlink="">
          <xdr:nvSpPr>
            <xdr:cNvPr id="1054" name="Line 30"/>
            <xdr:cNvSpPr>
              <a:spLocks noChangeShapeType="1"/>
            </xdr:cNvSpPr>
          </xdr:nvSpPr>
          <xdr:spPr bwMode="auto">
            <a:xfrm>
              <a:off x="108995775" y="109044150"/>
              <a:ext cx="0" cy="1296000"/>
            </a:xfrm>
            <a:prstGeom prst="line">
              <a:avLst/>
            </a:prstGeom>
            <a:noFill/>
            <a:ln w="9525">
              <a:solidFill>
                <a:srgbClr val="000000"/>
              </a:solidFill>
              <a:round/>
              <a:headEnd/>
              <a:tailEnd type="stealth" w="med" len="med"/>
            </a:ln>
            <a:effectLst/>
          </xdr:spPr>
        </xdr:sp>
        <xdr:sp macro="" textlink="">
          <xdr:nvSpPr>
            <xdr:cNvPr id="1055" name="Line 31"/>
            <xdr:cNvSpPr>
              <a:spLocks noChangeShapeType="1"/>
            </xdr:cNvSpPr>
          </xdr:nvSpPr>
          <xdr:spPr bwMode="auto">
            <a:xfrm>
              <a:off x="108383775" y="110340150"/>
              <a:ext cx="1224000" cy="0"/>
            </a:xfrm>
            <a:prstGeom prst="line">
              <a:avLst/>
            </a:prstGeom>
            <a:noFill/>
            <a:ln w="9525">
              <a:solidFill>
                <a:srgbClr val="000000"/>
              </a:solidFill>
              <a:round/>
              <a:headEnd/>
              <a:tailEnd/>
            </a:ln>
            <a:effectLst/>
          </xdr:spPr>
        </xdr:sp>
        <xdr:sp macro="" textlink="">
          <xdr:nvSpPr>
            <xdr:cNvPr id="1056" name="Line 32"/>
            <xdr:cNvSpPr>
              <a:spLocks noChangeShapeType="1"/>
            </xdr:cNvSpPr>
          </xdr:nvSpPr>
          <xdr:spPr bwMode="auto">
            <a:xfrm>
              <a:off x="108995775" y="109008150"/>
              <a:ext cx="1044000" cy="0"/>
            </a:xfrm>
            <a:prstGeom prst="line">
              <a:avLst/>
            </a:prstGeom>
            <a:noFill/>
            <a:ln w="9525">
              <a:solidFill>
                <a:srgbClr val="000000"/>
              </a:solidFill>
              <a:round/>
              <a:headEnd/>
              <a:tailEnd/>
            </a:ln>
            <a:effectLst/>
          </xdr:spPr>
        </xdr:sp>
        <xdr:sp macro="" textlink="">
          <xdr:nvSpPr>
            <xdr:cNvPr id="1057" name="Line 33"/>
            <xdr:cNvSpPr>
              <a:spLocks noChangeShapeType="1"/>
            </xdr:cNvSpPr>
          </xdr:nvSpPr>
          <xdr:spPr bwMode="auto">
            <a:xfrm>
              <a:off x="109463775" y="109008150"/>
              <a:ext cx="0" cy="1836000"/>
            </a:xfrm>
            <a:prstGeom prst="line">
              <a:avLst/>
            </a:prstGeom>
            <a:noFill/>
            <a:ln w="9525">
              <a:solidFill>
                <a:srgbClr val="000000"/>
              </a:solidFill>
              <a:round/>
              <a:headEnd/>
              <a:tailEnd type="triangle" w="med" len="med"/>
            </a:ln>
            <a:effectLst/>
          </xdr:spPr>
        </xdr:sp>
        <xdr:sp macro="" textlink="">
          <xdr:nvSpPr>
            <xdr:cNvPr id="1058" name="Line 34"/>
            <xdr:cNvSpPr>
              <a:spLocks noChangeShapeType="1"/>
            </xdr:cNvSpPr>
          </xdr:nvSpPr>
          <xdr:spPr bwMode="auto">
            <a:xfrm>
              <a:off x="110003775" y="109008150"/>
              <a:ext cx="0" cy="2304000"/>
            </a:xfrm>
            <a:prstGeom prst="line">
              <a:avLst/>
            </a:prstGeom>
            <a:noFill/>
            <a:ln w="9525">
              <a:solidFill>
                <a:srgbClr val="000000"/>
              </a:solidFill>
              <a:round/>
              <a:headEnd/>
              <a:tailEnd type="triangle" w="med" len="med"/>
            </a:ln>
            <a:effectLst/>
          </xdr:spPr>
        </xdr:sp>
        <xdr:sp macro="" textlink="">
          <xdr:nvSpPr>
            <xdr:cNvPr id="1059" name="Text Box 35"/>
            <xdr:cNvSpPr txBox="1">
              <a:spLocks noChangeArrowheads="1"/>
            </xdr:cNvSpPr>
          </xdr:nvSpPr>
          <xdr:spPr bwMode="auto">
            <a:xfrm>
              <a:off x="107987775" y="109548150"/>
              <a:ext cx="324000" cy="288000"/>
            </a:xfrm>
            <a:prstGeom prst="rect">
              <a:avLst/>
            </a:prstGeom>
            <a:no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ar-SY" sz="1000" b="1" i="0" strike="noStrike">
                  <a:solidFill>
                    <a:srgbClr val="000000"/>
                  </a:solidFill>
                  <a:latin typeface="Times New Roman"/>
                  <a:cs typeface="Times New Roman"/>
                </a:rPr>
                <a:t>تربة</a:t>
              </a:r>
            </a:p>
            <a:p>
              <a:pPr algn="l" rtl="0">
                <a:defRPr sz="1000"/>
              </a:pPr>
              <a:endParaRPr lang="ar-SY" sz="1000" b="1" i="0" strike="noStrike">
                <a:solidFill>
                  <a:srgbClr val="000000"/>
                </a:solidFill>
                <a:latin typeface="Times New Roman"/>
                <a:cs typeface="Times New Roman"/>
              </a:endParaRPr>
            </a:p>
          </xdr:txBody>
        </xdr:sp>
        <xdr:sp macro="" textlink="">
          <xdr:nvSpPr>
            <xdr:cNvPr id="1060" name="Text Box 36"/>
            <xdr:cNvSpPr txBox="1">
              <a:spLocks noChangeArrowheads="1"/>
            </xdr:cNvSpPr>
          </xdr:nvSpPr>
          <xdr:spPr bwMode="auto">
            <a:xfrm>
              <a:off x="107987775" y="110448150"/>
              <a:ext cx="324000" cy="28800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ar-SY" sz="1000" b="1" i="0" strike="noStrike">
                  <a:solidFill>
                    <a:srgbClr val="000000"/>
                  </a:solidFill>
                  <a:latin typeface="Times New Roman"/>
                  <a:cs typeface="Times New Roman"/>
                </a:rPr>
                <a:t>بيتون</a:t>
              </a:r>
            </a:p>
            <a:p>
              <a:pPr algn="l" rtl="0">
                <a:defRPr sz="1000"/>
              </a:pPr>
              <a:endParaRPr lang="ar-SY" sz="1000" b="1" i="0" strike="noStrike">
                <a:solidFill>
                  <a:srgbClr val="000000"/>
                </a:solidFill>
                <a:latin typeface="Times New Roman"/>
                <a:cs typeface="Times New Roman"/>
              </a:endParaRPr>
            </a:p>
            <a:p>
              <a:pPr algn="l" rtl="0">
                <a:defRPr sz="1000"/>
              </a:pPr>
              <a:endParaRPr lang="ar-SY" sz="1000" b="1" i="0" strike="noStrike">
                <a:solidFill>
                  <a:srgbClr val="000000"/>
                </a:solidFill>
                <a:latin typeface="Times New Roman"/>
                <a:cs typeface="Times New Roman"/>
              </a:endParaRPr>
            </a:p>
          </xdr:txBody>
        </xdr:sp>
        <xdr:sp macro="" textlink="">
          <xdr:nvSpPr>
            <xdr:cNvPr id="1061" name="Text Box 37"/>
            <xdr:cNvSpPr txBox="1">
              <a:spLocks noChangeArrowheads="1"/>
            </xdr:cNvSpPr>
          </xdr:nvSpPr>
          <xdr:spPr bwMode="auto">
            <a:xfrm>
              <a:off x="108815775" y="109620150"/>
              <a:ext cx="324000" cy="28800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1">
                <a:defRPr sz="1000"/>
              </a:pPr>
              <a:r>
                <a:rPr lang="en-US" sz="1000" b="1" i="0" strike="noStrike">
                  <a:solidFill>
                    <a:srgbClr val="000000"/>
                  </a:solidFill>
                  <a:latin typeface="Times New Roman"/>
                  <a:cs typeface="Times New Roman"/>
                </a:rPr>
                <a:t>R</a:t>
              </a:r>
              <a:r>
                <a:rPr lang="en-US" sz="600" b="1" i="0" strike="noStrike">
                  <a:solidFill>
                    <a:srgbClr val="000000"/>
                  </a:solidFill>
                  <a:latin typeface="Times New Roman"/>
                  <a:cs typeface="Times New Roman"/>
                </a:rPr>
                <a:t>B</a:t>
              </a:r>
              <a:endParaRPr lang="en-US" sz="1000" b="1" i="0" strike="noStrike">
                <a:solidFill>
                  <a:srgbClr val="000000"/>
                </a:solidFill>
                <a:latin typeface="Times New Roman"/>
                <a:cs typeface="Times New Roman"/>
              </a:endParaRPr>
            </a:p>
            <a:p>
              <a:pPr algn="l" rtl="1">
                <a:defRPr sz="1000"/>
              </a:pPr>
              <a:endParaRPr lang="en-US" sz="1000" b="1" i="0" strike="noStrike">
                <a:solidFill>
                  <a:srgbClr val="000000"/>
                </a:solidFill>
                <a:latin typeface="Times New Roman"/>
                <a:cs typeface="Times New Roman"/>
              </a:endParaRPr>
            </a:p>
          </xdr:txBody>
        </xdr:sp>
        <xdr:sp macro="" textlink="">
          <xdr:nvSpPr>
            <xdr:cNvPr id="1062" name="Text Box 38"/>
            <xdr:cNvSpPr txBox="1">
              <a:spLocks noChangeArrowheads="1"/>
            </xdr:cNvSpPr>
          </xdr:nvSpPr>
          <xdr:spPr bwMode="auto">
            <a:xfrm>
              <a:off x="109319775" y="109584150"/>
              <a:ext cx="324000" cy="28800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1">
                <a:defRPr sz="1000"/>
              </a:pPr>
              <a:r>
                <a:rPr lang="en-US" sz="1000" b="1" i="0" strike="noStrike">
                  <a:solidFill>
                    <a:srgbClr val="000000"/>
                  </a:solidFill>
                  <a:latin typeface="Times New Roman"/>
                  <a:cs typeface="Times New Roman"/>
                </a:rPr>
                <a:t>R</a:t>
              </a:r>
              <a:r>
                <a:rPr lang="en-US" sz="600" b="1" i="0" strike="noStrike">
                  <a:solidFill>
                    <a:srgbClr val="000000"/>
                  </a:solidFill>
                  <a:latin typeface="Times New Roman"/>
                  <a:cs typeface="Times New Roman"/>
                </a:rPr>
                <a:t>P</a:t>
              </a:r>
              <a:endParaRPr lang="en-US" sz="1000" b="1" i="0" strike="noStrike">
                <a:solidFill>
                  <a:srgbClr val="000000"/>
                </a:solidFill>
                <a:latin typeface="Times New Roman"/>
                <a:cs typeface="Times New Roman"/>
              </a:endParaRPr>
            </a:p>
            <a:p>
              <a:pPr algn="l" rtl="1">
                <a:defRPr sz="1000"/>
              </a:pPr>
              <a:endParaRPr lang="en-US" sz="1000" b="1" i="0" strike="noStrike">
                <a:solidFill>
                  <a:srgbClr val="000000"/>
                </a:solidFill>
                <a:latin typeface="Times New Roman"/>
                <a:cs typeface="Times New Roman"/>
              </a:endParaRPr>
            </a:p>
          </xdr:txBody>
        </xdr:sp>
        <xdr:sp macro="" textlink="">
          <xdr:nvSpPr>
            <xdr:cNvPr id="1063" name="Text Box 39"/>
            <xdr:cNvSpPr txBox="1">
              <a:spLocks noChangeArrowheads="1"/>
            </xdr:cNvSpPr>
          </xdr:nvSpPr>
          <xdr:spPr bwMode="auto">
            <a:xfrm>
              <a:off x="109859775" y="109548150"/>
              <a:ext cx="324000" cy="28800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1">
                <a:defRPr sz="1000"/>
              </a:pPr>
              <a:r>
                <a:rPr lang="en-US" sz="1000" b="1" i="0" strike="noStrike">
                  <a:solidFill>
                    <a:srgbClr val="000000"/>
                  </a:solidFill>
                  <a:latin typeface="Times New Roman"/>
                  <a:cs typeface="Times New Roman"/>
                </a:rPr>
                <a:t>R</a:t>
              </a:r>
              <a:r>
                <a:rPr lang="en-US" sz="600" b="1" i="0" strike="noStrike">
                  <a:solidFill>
                    <a:srgbClr val="000000"/>
                  </a:solidFill>
                  <a:latin typeface="Times New Roman"/>
                  <a:cs typeface="Times New Roman"/>
                </a:rPr>
                <a:t>OT</a:t>
              </a:r>
              <a:endParaRPr lang="en-US" sz="1000" b="1" i="0" strike="noStrike">
                <a:solidFill>
                  <a:srgbClr val="000000"/>
                </a:solidFill>
                <a:latin typeface="Times New Roman"/>
                <a:cs typeface="Times New Roman"/>
              </a:endParaRPr>
            </a:p>
            <a:p>
              <a:pPr algn="l" rtl="1">
                <a:defRPr sz="1000"/>
              </a:pPr>
              <a:endParaRPr lang="en-US" sz="1000" b="1" i="0" strike="noStrike">
                <a:solidFill>
                  <a:srgbClr val="000000"/>
                </a:solidFill>
                <a:latin typeface="Times New Roman"/>
                <a:cs typeface="Times New Roman"/>
              </a:endParaRPr>
            </a:p>
          </xdr:txBody>
        </xdr:sp>
      </xdr:grpSp>
      <xdr:sp macro="" textlink="">
        <xdr:nvSpPr>
          <xdr:cNvPr id="1064" name="Line 40"/>
          <xdr:cNvSpPr>
            <a:spLocks noChangeShapeType="1"/>
          </xdr:cNvSpPr>
        </xdr:nvSpPr>
        <xdr:spPr bwMode="auto">
          <a:xfrm>
            <a:off x="107663775" y="106524150"/>
            <a:ext cx="5256000" cy="0"/>
          </a:xfrm>
          <a:prstGeom prst="line">
            <a:avLst/>
          </a:prstGeom>
          <a:noFill/>
          <a:ln w="9525">
            <a:solidFill>
              <a:srgbClr val="000000"/>
            </a:solidFill>
            <a:round/>
            <a:headEnd/>
            <a:tailEnd/>
          </a:ln>
          <a:effectLst/>
        </xdr:spPr>
      </xdr:sp>
      <xdr:sp macro="" textlink="">
        <xdr:nvSpPr>
          <xdr:cNvPr id="1065" name="Line 41"/>
          <xdr:cNvSpPr>
            <a:spLocks noChangeShapeType="1"/>
          </xdr:cNvSpPr>
        </xdr:nvSpPr>
        <xdr:spPr bwMode="auto">
          <a:xfrm>
            <a:off x="112415775" y="106524150"/>
            <a:ext cx="0" cy="3420000"/>
          </a:xfrm>
          <a:prstGeom prst="line">
            <a:avLst/>
          </a:prstGeom>
          <a:noFill/>
          <a:ln w="9525">
            <a:solidFill>
              <a:srgbClr val="000000"/>
            </a:solidFill>
            <a:round/>
            <a:headEnd type="stealth" w="med" len="med"/>
            <a:tailEnd type="triangle" w="med" len="med"/>
          </a:ln>
          <a:effectLst/>
        </xdr:spPr>
      </xdr:sp>
      <xdr:sp macro="" textlink="">
        <xdr:nvSpPr>
          <xdr:cNvPr id="1066" name="Line 42"/>
          <xdr:cNvSpPr>
            <a:spLocks noChangeShapeType="1"/>
          </xdr:cNvSpPr>
        </xdr:nvSpPr>
        <xdr:spPr bwMode="auto">
          <a:xfrm>
            <a:off x="110543775" y="106524150"/>
            <a:ext cx="0" cy="2304000"/>
          </a:xfrm>
          <a:prstGeom prst="line">
            <a:avLst/>
          </a:prstGeom>
          <a:noFill/>
          <a:ln w="9525" algn="ctr">
            <a:solidFill>
              <a:srgbClr val="000000"/>
            </a:solidFill>
            <a:round/>
            <a:headEnd type="stealth" w="med" len="med"/>
            <a:tailEnd type="triangle" w="med" len="med"/>
          </a:ln>
          <a:effectLst/>
        </xdr:spPr>
      </xdr:sp>
      <xdr:sp macro="" textlink="">
        <xdr:nvSpPr>
          <xdr:cNvPr id="1067" name="Text Box 43"/>
          <xdr:cNvSpPr txBox="1">
            <a:spLocks noChangeArrowheads="1"/>
          </xdr:cNvSpPr>
        </xdr:nvSpPr>
        <xdr:spPr bwMode="auto">
          <a:xfrm>
            <a:off x="110363775" y="107244150"/>
            <a:ext cx="360000" cy="32400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1">
              <a:defRPr sz="1000"/>
            </a:pPr>
            <a:r>
              <a:rPr lang="en-US" sz="1200" b="0" i="0" strike="noStrike">
                <a:solidFill>
                  <a:srgbClr val="000000"/>
                </a:solidFill>
                <a:latin typeface="Times New Roman"/>
                <a:cs typeface="Times New Roman"/>
              </a:rPr>
              <a:t>h</a:t>
            </a:r>
            <a:r>
              <a:rPr lang="en-US" sz="1000" b="0" i="0" strike="noStrike">
                <a:solidFill>
                  <a:srgbClr val="000000"/>
                </a:solidFill>
                <a:latin typeface="Times New Roman"/>
                <a:cs typeface="Times New Roman"/>
              </a:rPr>
              <a:t> pr</a:t>
            </a:r>
          </a:p>
          <a:p>
            <a:pPr algn="l" rtl="1">
              <a:defRPr sz="1000"/>
            </a:pPr>
            <a:endParaRPr lang="en-US" sz="1000" b="0" i="0" strike="noStrike">
              <a:solidFill>
                <a:srgbClr val="000000"/>
              </a:solidFill>
              <a:latin typeface="Times New Roman"/>
              <a:cs typeface="Times New Roman"/>
            </a:endParaRPr>
          </a:p>
        </xdr:txBody>
      </xdr:sp>
      <xdr:sp macro="" textlink="">
        <xdr:nvSpPr>
          <xdr:cNvPr id="1068" name="Text Box 44"/>
          <xdr:cNvSpPr txBox="1">
            <a:spLocks noChangeArrowheads="1"/>
          </xdr:cNvSpPr>
        </xdr:nvSpPr>
        <xdr:spPr bwMode="auto">
          <a:xfrm>
            <a:off x="108599775" y="106272150"/>
            <a:ext cx="756000" cy="32400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0">
              <a:defRPr sz="1000"/>
            </a:pPr>
            <a:r>
              <a:rPr lang="ar-SY" sz="1000" b="0" i="0" strike="noStrike">
                <a:solidFill>
                  <a:srgbClr val="000000"/>
                </a:solidFill>
                <a:latin typeface="Times New Roman"/>
                <a:cs typeface="Times New Roman"/>
              </a:rPr>
              <a:t>سطح الأرض</a:t>
            </a:r>
          </a:p>
          <a:p>
            <a:pPr algn="l" rtl="0">
              <a:defRPr sz="1000"/>
            </a:pPr>
            <a:endParaRPr lang="ar-SY" sz="1000" b="0" i="0" strike="noStrike">
              <a:solidFill>
                <a:srgbClr val="000000"/>
              </a:solidFill>
              <a:latin typeface="Times New Roman"/>
              <a:cs typeface="Times New Roman"/>
            </a:endParaRPr>
          </a:p>
        </xdr:txBody>
      </xdr:sp>
      <xdr:sp macro="" textlink="">
        <xdr:nvSpPr>
          <xdr:cNvPr id="1069" name="Text Box 45"/>
          <xdr:cNvSpPr txBox="1">
            <a:spLocks noChangeArrowheads="1"/>
          </xdr:cNvSpPr>
        </xdr:nvSpPr>
        <xdr:spPr bwMode="auto">
          <a:xfrm>
            <a:off x="112163775" y="107460150"/>
            <a:ext cx="360000" cy="324000"/>
          </a:xfrm>
          <a:prstGeom prst="rect">
            <a:avLst/>
          </a:prstGeom>
          <a:solidFill>
            <a:srgbClr val="FFFFFF"/>
          </a:solidFill>
          <a:ln w="9525" algn="in">
            <a:solidFill>
              <a:srgbClr val="FFFFFF"/>
            </a:solidFill>
            <a:miter lim="800000"/>
            <a:headEnd/>
            <a:tailEnd/>
          </a:ln>
          <a:effectLst/>
        </xdr:spPr>
        <xdr:txBody>
          <a:bodyPr vertOverflow="clip" wrap="square" lIns="36576" tIns="36576" rIns="36576" bIns="36576" anchor="t" upright="1"/>
          <a:lstStyle/>
          <a:p>
            <a:pPr algn="l" rtl="1">
              <a:defRPr sz="1000"/>
            </a:pPr>
            <a:r>
              <a:rPr lang="en-US" sz="1200" b="0" i="0" strike="noStrike">
                <a:solidFill>
                  <a:srgbClr val="000000"/>
                </a:solidFill>
                <a:latin typeface="Times New Roman"/>
                <a:cs typeface="Times New Roman"/>
              </a:rPr>
              <a:t>Z</a:t>
            </a:r>
            <a:endParaRPr lang="en-US" sz="1000" b="0" i="0" strike="noStrike">
              <a:solidFill>
                <a:srgbClr val="000000"/>
              </a:solidFill>
              <a:latin typeface="Times New Roman"/>
              <a:cs typeface="Times New Roman"/>
            </a:endParaRPr>
          </a:p>
          <a:p>
            <a:pPr algn="l" rtl="1">
              <a:defRPr sz="1000"/>
            </a:pPr>
            <a:endParaRPr lang="en-US" sz="1000" b="0" i="0" strike="noStrike">
              <a:solidFill>
                <a:srgbClr val="000000"/>
              </a:solidFill>
              <a:latin typeface="Times New Roman"/>
              <a:cs typeface="Times New Roman"/>
            </a:endParaRPr>
          </a:p>
        </xdr:txBody>
      </xdr:sp>
    </xdr:grpSp>
    <xdr:clientData/>
  </xdr:twoCellAnchor>
</xdr:wsDr>
</file>

<file path=xl/theme/theme1.xml><?xml version="1.0" encoding="utf-8"?>
<a:theme xmlns:a="http://schemas.openxmlformats.org/drawingml/2006/main" name="سمة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V428"/>
  <sheetViews>
    <sheetView topLeftCell="D118" workbookViewId="0">
      <selection activeCell="S1" sqref="A1:S399"/>
    </sheetView>
  </sheetViews>
  <sheetFormatPr defaultRowHeight="15.75"/>
  <cols>
    <col min="2" max="2" width="9.875" bestFit="1" customWidth="1"/>
    <col min="3" max="3" width="17.25" customWidth="1"/>
    <col min="5" max="5" width="9.5" customWidth="1"/>
    <col min="6" max="6" width="24.25" customWidth="1"/>
    <col min="7" max="7" width="8" customWidth="1"/>
    <col min="12" max="12" width="9.875" bestFit="1" customWidth="1"/>
    <col min="13" max="13" width="12.125" bestFit="1" customWidth="1"/>
    <col min="17" max="17" width="12.125" bestFit="1" customWidth="1"/>
  </cols>
  <sheetData>
    <row r="1" spans="1:22" ht="20.25">
      <c r="A1" s="265"/>
      <c r="B1" s="3"/>
      <c r="C1" s="4"/>
      <c r="D1" s="266"/>
      <c r="E1" s="66"/>
      <c r="F1" s="47"/>
      <c r="G1" s="263"/>
      <c r="H1" s="65"/>
      <c r="I1" s="459"/>
      <c r="J1" s="460"/>
      <c r="K1" s="103"/>
      <c r="L1" s="121"/>
      <c r="M1" s="435"/>
      <c r="N1" s="436"/>
      <c r="O1" s="136"/>
      <c r="P1" s="121"/>
      <c r="Q1" s="122"/>
    </row>
    <row r="2" spans="1:22" ht="20.25">
      <c r="A2" s="259"/>
      <c r="B2" s="5"/>
      <c r="C2" s="6"/>
      <c r="D2" s="262"/>
      <c r="E2" s="65"/>
      <c r="F2" s="138"/>
      <c r="G2" s="263"/>
      <c r="H2" s="65"/>
      <c r="I2" s="461"/>
      <c r="J2" s="462"/>
      <c r="K2" s="263"/>
      <c r="L2" s="65"/>
      <c r="M2" s="461"/>
      <c r="N2" s="468"/>
    </row>
    <row r="3" spans="1:22">
      <c r="A3" s="259"/>
      <c r="B3" s="5"/>
      <c r="C3" s="6"/>
      <c r="D3" s="68"/>
      <c r="E3" s="65"/>
      <c r="F3" s="92"/>
      <c r="G3" s="263"/>
      <c r="H3" s="65"/>
      <c r="I3" s="461"/>
      <c r="J3" s="462"/>
      <c r="K3" s="263"/>
      <c r="L3" s="65"/>
      <c r="M3" s="461"/>
      <c r="N3" s="468"/>
    </row>
    <row r="4" spans="1:22" ht="18.75">
      <c r="A4" s="259"/>
      <c r="B4" s="5"/>
      <c r="C4" s="6"/>
      <c r="D4" s="68"/>
      <c r="E4" s="65"/>
      <c r="F4" s="92"/>
      <c r="G4" s="276"/>
      <c r="H4" s="70"/>
      <c r="I4" s="477"/>
      <c r="J4" s="478"/>
      <c r="K4" s="277"/>
      <c r="L4" s="118"/>
      <c r="M4" s="477"/>
      <c r="N4" s="483"/>
    </row>
    <row r="5" spans="1:22" ht="18.75">
      <c r="A5" s="259"/>
      <c r="B5" s="5"/>
      <c r="C5" s="6"/>
      <c r="D5" s="261"/>
      <c r="E5" s="65"/>
      <c r="F5" s="48"/>
      <c r="G5" s="276"/>
      <c r="H5" s="70"/>
      <c r="I5" s="477"/>
      <c r="J5" s="478"/>
      <c r="K5" s="277"/>
      <c r="L5" s="118"/>
      <c r="M5" s="477"/>
      <c r="N5" s="483"/>
    </row>
    <row r="6" spans="1:22" ht="20.25">
      <c r="A6" s="260"/>
      <c r="B6" s="5"/>
      <c r="C6" s="6"/>
      <c r="D6" s="267"/>
      <c r="E6" s="63"/>
      <c r="F6" s="48"/>
      <c r="G6" s="276"/>
      <c r="H6" s="70"/>
      <c r="I6" s="477"/>
      <c r="J6" s="478"/>
      <c r="K6" s="276"/>
      <c r="L6" s="118"/>
      <c r="M6" s="477"/>
      <c r="N6" s="483"/>
    </row>
    <row r="7" spans="1:22" ht="21" thickBot="1">
      <c r="A7" s="260"/>
      <c r="B7" s="5"/>
      <c r="C7" s="6"/>
      <c r="D7" s="262"/>
      <c r="E7" s="63"/>
      <c r="F7" s="48"/>
      <c r="G7" s="269"/>
      <c r="H7" s="52"/>
      <c r="I7" s="558"/>
      <c r="J7" s="559"/>
      <c r="K7" s="269"/>
      <c r="L7" s="119"/>
      <c r="M7" s="469"/>
      <c r="N7" s="470"/>
    </row>
    <row r="8" spans="1:22" ht="21" thickBot="1">
      <c r="A8" s="260"/>
      <c r="B8" s="5"/>
      <c r="C8" s="6"/>
      <c r="D8" s="262"/>
      <c r="E8" s="63"/>
      <c r="F8" s="48"/>
      <c r="G8" s="269"/>
      <c r="H8" s="144"/>
      <c r="I8" s="279"/>
      <c r="J8" s="108"/>
      <c r="K8" s="270"/>
      <c r="L8" s="119"/>
      <c r="M8" s="280"/>
      <c r="N8" s="137"/>
    </row>
    <row r="9" spans="1:22" ht="20.25">
      <c r="A9" s="260"/>
      <c r="B9" s="5"/>
      <c r="C9" s="148"/>
      <c r="D9" s="261"/>
      <c r="E9" s="63"/>
      <c r="F9" s="48"/>
      <c r="G9" s="278"/>
      <c r="H9" s="71"/>
      <c r="I9" s="492"/>
      <c r="J9" s="493"/>
      <c r="K9" s="278"/>
      <c r="L9" s="117"/>
      <c r="M9" s="494"/>
      <c r="N9" s="483"/>
    </row>
    <row r="10" spans="1:22" ht="20.25">
      <c r="A10" s="7"/>
      <c r="B10" s="5"/>
      <c r="C10" s="148"/>
      <c r="D10" s="261"/>
      <c r="E10" s="63"/>
      <c r="F10" s="211"/>
      <c r="G10" s="278"/>
      <c r="H10" s="71"/>
      <c r="I10" s="494"/>
      <c r="J10" s="478"/>
      <c r="K10" s="278"/>
      <c r="L10" s="117"/>
      <c r="M10" s="494"/>
      <c r="N10" s="483"/>
    </row>
    <row r="11" spans="1:22" ht="20.25">
      <c r="A11" s="260"/>
      <c r="B11" s="5"/>
      <c r="C11" s="6"/>
      <c r="D11" s="261"/>
      <c r="E11" s="63"/>
      <c r="F11" s="48"/>
      <c r="G11" s="271"/>
      <c r="H11" s="52"/>
      <c r="I11" s="460"/>
      <c r="J11" s="557"/>
      <c r="K11" s="263"/>
      <c r="L11" s="65"/>
      <c r="M11" s="461"/>
      <c r="N11" s="468"/>
    </row>
    <row r="12" spans="1:22" ht="20.25">
      <c r="A12" s="260"/>
      <c r="B12" s="5"/>
      <c r="C12" s="6"/>
      <c r="D12" s="261"/>
      <c r="E12" s="63"/>
      <c r="F12" s="49"/>
      <c r="G12" s="269"/>
      <c r="H12" s="52"/>
      <c r="I12" s="514"/>
      <c r="J12" s="515"/>
      <c r="K12" s="272"/>
      <c r="L12" s="139"/>
      <c r="M12" s="461"/>
      <c r="N12" s="468"/>
    </row>
    <row r="13" spans="1:22" ht="21" thickBot="1">
      <c r="A13" s="260"/>
      <c r="B13" s="5"/>
      <c r="C13" s="6"/>
      <c r="D13" s="68"/>
      <c r="E13" s="63"/>
      <c r="F13" s="49"/>
      <c r="G13" s="104"/>
      <c r="H13" s="52"/>
      <c r="I13" s="516"/>
      <c r="J13" s="514"/>
      <c r="K13" s="272"/>
      <c r="L13" s="139"/>
      <c r="M13" s="471"/>
      <c r="N13" s="472"/>
    </row>
    <row r="14" spans="1:22" ht="21" thickBot="1">
      <c r="A14" s="260"/>
      <c r="B14" s="5"/>
      <c r="C14" s="6"/>
      <c r="D14" s="67"/>
      <c r="E14" s="63"/>
      <c r="F14" s="49"/>
      <c r="G14" s="271"/>
      <c r="H14" s="52"/>
      <c r="I14" s="516"/>
      <c r="J14" s="517"/>
      <c r="K14" s="260"/>
      <c r="L14" s="264"/>
      <c r="M14" s="473"/>
      <c r="N14" s="474"/>
      <c r="T14" s="476"/>
      <c r="U14" s="476"/>
      <c r="V14" s="476"/>
    </row>
    <row r="15" spans="1:22" ht="20.25">
      <c r="A15" s="7"/>
      <c r="B15" s="5"/>
      <c r="C15" s="6"/>
      <c r="D15" s="268"/>
      <c r="E15" s="63"/>
      <c r="F15" s="48"/>
      <c r="G15" s="271"/>
      <c r="H15" s="52"/>
      <c r="I15" s="516"/>
      <c r="J15" s="517"/>
    </row>
    <row r="16" spans="1:22" ht="21" thickBot="1">
      <c r="A16" s="7"/>
      <c r="B16" s="5"/>
      <c r="C16" s="6"/>
      <c r="D16" s="69"/>
      <c r="E16" s="64"/>
      <c r="F16" s="50"/>
      <c r="G16" s="276"/>
      <c r="H16" s="72"/>
      <c r="I16" s="463"/>
      <c r="J16" s="463"/>
      <c r="K16" s="463"/>
      <c r="L16" s="463"/>
    </row>
    <row r="17" spans="1:19" ht="21" thickBot="1">
      <c r="A17" s="495"/>
      <c r="B17" s="496"/>
      <c r="C17" s="496"/>
      <c r="D17" s="496"/>
      <c r="E17" s="496"/>
      <c r="F17" s="496"/>
      <c r="G17" s="281"/>
      <c r="H17" s="209"/>
      <c r="I17" s="210"/>
      <c r="J17" s="281"/>
      <c r="K17" s="209"/>
      <c r="L17" s="209"/>
    </row>
    <row r="18" spans="1:19" ht="20.25">
      <c r="A18" s="1"/>
      <c r="G18" s="281"/>
      <c r="H18" s="209"/>
      <c r="I18" s="210"/>
      <c r="J18" s="281"/>
      <c r="K18" s="209"/>
      <c r="L18" s="209"/>
    </row>
    <row r="19" spans="1:19" ht="20.25">
      <c r="A19" s="1"/>
      <c r="G19" s="105"/>
      <c r="H19" s="65"/>
      <c r="I19" s="93"/>
    </row>
    <row r="20" spans="1:19" ht="20.25">
      <c r="A20" s="1"/>
      <c r="G20" s="105"/>
      <c r="H20" s="65"/>
      <c r="I20" s="93"/>
    </row>
    <row r="21" spans="1:19">
      <c r="G21" s="271"/>
      <c r="H21" s="99"/>
      <c r="I21" s="100"/>
    </row>
    <row r="22" spans="1:19">
      <c r="G22" s="276"/>
      <c r="H22" s="70"/>
      <c r="I22" s="479"/>
      <c r="J22" s="479"/>
      <c r="K22" s="479"/>
      <c r="L22" s="479"/>
    </row>
    <row r="23" spans="1:19">
      <c r="G23" s="276"/>
      <c r="H23" s="70"/>
      <c r="I23" s="497"/>
      <c r="J23" s="498"/>
      <c r="K23" s="498"/>
      <c r="L23" s="499"/>
    </row>
    <row r="24" spans="1:19">
      <c r="G24" s="276"/>
      <c r="H24" s="72"/>
      <c r="I24" s="463"/>
      <c r="J24" s="463"/>
      <c r="K24" s="463"/>
      <c r="L24" s="463"/>
    </row>
    <row r="25" spans="1:19">
      <c r="G25" s="276"/>
      <c r="H25" s="133"/>
      <c r="I25" s="479"/>
      <c r="J25" s="479"/>
      <c r="K25" s="479"/>
      <c r="L25" s="479"/>
    </row>
    <row r="26" spans="1:19">
      <c r="G26" s="276"/>
      <c r="H26" s="133"/>
      <c r="I26" s="497"/>
      <c r="J26" s="498"/>
      <c r="K26" s="498"/>
      <c r="L26" s="499"/>
    </row>
    <row r="32" spans="1:19">
      <c r="S32" s="24"/>
    </row>
    <row r="33" spans="1:19" ht="16.5" thickBot="1">
      <c r="S33" s="24"/>
    </row>
    <row r="34" spans="1:19" ht="16.5" thickBot="1">
      <c r="K34" s="465"/>
      <c r="L34" s="466"/>
      <c r="M34" s="466"/>
      <c r="N34" s="466"/>
      <c r="O34" s="467"/>
      <c r="P34" s="12"/>
      <c r="S34" s="24"/>
    </row>
    <row r="35" spans="1:19" ht="16.5" thickBot="1">
      <c r="S35" s="24"/>
    </row>
    <row r="36" spans="1:19" ht="16.5" thickBot="1">
      <c r="K36" s="465"/>
      <c r="L36" s="466"/>
      <c r="M36" s="466"/>
      <c r="N36" s="466"/>
      <c r="O36" s="467"/>
      <c r="P36" s="9"/>
      <c r="S36" s="24"/>
    </row>
    <row r="37" spans="1:19" ht="16.5" thickBot="1">
      <c r="D37" s="451"/>
      <c r="E37" s="451"/>
      <c r="S37" s="24"/>
    </row>
    <row r="38" spans="1:19" ht="16.5" thickBot="1">
      <c r="B38" s="10"/>
      <c r="C38" s="11"/>
      <c r="D38" s="11"/>
      <c r="E38" s="455"/>
      <c r="F38" s="455"/>
      <c r="G38" s="11"/>
      <c r="H38" s="11"/>
      <c r="I38" s="11"/>
      <c r="J38" s="11"/>
      <c r="K38" s="475"/>
      <c r="L38" s="475"/>
      <c r="M38" s="475"/>
      <c r="N38" s="475"/>
      <c r="O38" s="475"/>
      <c r="P38" s="475"/>
      <c r="Q38" s="320"/>
      <c r="S38" s="24"/>
    </row>
    <row r="39" spans="1:19">
      <c r="D39" s="81"/>
      <c r="E39" s="294"/>
      <c r="F39" s="31"/>
      <c r="G39" s="32"/>
      <c r="H39" s="35"/>
      <c r="I39" s="451"/>
      <c r="J39" s="451"/>
      <c r="K39" s="451"/>
      <c r="L39" s="451"/>
      <c r="M39" s="451"/>
      <c r="N39" s="451"/>
      <c r="O39" s="451"/>
      <c r="P39" s="451"/>
      <c r="S39" s="24"/>
    </row>
    <row r="40" spans="1:19" ht="16.5" thickBot="1">
      <c r="E40" s="295"/>
      <c r="F40" s="293"/>
      <c r="P40" s="296"/>
      <c r="S40" s="24"/>
    </row>
    <row r="41" spans="1:19" ht="16.5" thickBot="1">
      <c r="E41" s="294"/>
      <c r="F41" s="500"/>
      <c r="G41" s="501"/>
      <c r="H41" s="489"/>
      <c r="I41" s="490"/>
      <c r="J41" s="487"/>
      <c r="K41" s="487"/>
      <c r="L41" s="488"/>
      <c r="M41" s="13"/>
      <c r="N41" s="23"/>
      <c r="S41" s="24"/>
    </row>
    <row r="42" spans="1:19" ht="16.5" thickBot="1">
      <c r="E42" s="57"/>
      <c r="F42" s="30"/>
      <c r="S42" s="24"/>
    </row>
    <row r="43" spans="1:19" ht="16.5" thickBot="1">
      <c r="C43" s="491"/>
      <c r="D43" s="491"/>
      <c r="E43" s="491"/>
      <c r="F43" s="491"/>
      <c r="G43" s="491"/>
      <c r="H43" s="489"/>
      <c r="I43" s="490"/>
      <c r="J43" s="487"/>
      <c r="K43" s="487"/>
      <c r="L43" s="488"/>
      <c r="N43" s="23"/>
      <c r="S43" s="24"/>
    </row>
    <row r="44" spans="1:19" ht="16.5" thickBot="1">
      <c r="B44" s="484"/>
      <c r="C44" s="484"/>
      <c r="D44" s="20"/>
      <c r="F44" s="15"/>
      <c r="S44" s="24"/>
    </row>
    <row r="45" spans="1:19" ht="16.5" thickBot="1">
      <c r="A45" s="18"/>
      <c r="B45" s="17"/>
      <c r="C45" s="17"/>
      <c r="D45" s="16"/>
      <c r="E45" s="16"/>
      <c r="F45" s="19"/>
      <c r="L45" s="485"/>
      <c r="M45" s="486"/>
      <c r="N45" s="22"/>
      <c r="S45" s="24"/>
    </row>
    <row r="46" spans="1:19">
      <c r="G46" s="8"/>
      <c r="S46" s="24"/>
    </row>
    <row r="47" spans="1:19">
      <c r="S47" s="24"/>
    </row>
    <row r="48" spans="1:19" ht="16.5" thickBot="1">
      <c r="C48" s="485"/>
      <c r="D48" s="486"/>
      <c r="E48" s="486"/>
      <c r="F48" s="486"/>
      <c r="G48" s="486"/>
      <c r="H48" s="486"/>
      <c r="I48" s="486"/>
      <c r="J48" s="486"/>
      <c r="K48" s="486"/>
      <c r="L48" s="486"/>
      <c r="M48" s="486"/>
      <c r="N48" s="486"/>
      <c r="O48" s="486"/>
      <c r="S48" s="24"/>
    </row>
    <row r="49" spans="2:19" ht="16.5" thickBot="1">
      <c r="E49" s="21"/>
      <c r="S49" s="24"/>
    </row>
    <row r="50" spans="2:19">
      <c r="S50" s="24"/>
    </row>
    <row r="51" spans="2:19">
      <c r="B51" s="24"/>
      <c r="C51" s="24"/>
      <c r="D51" s="24"/>
      <c r="E51" s="24"/>
      <c r="F51" s="24"/>
      <c r="G51" s="24"/>
      <c r="H51" s="24"/>
      <c r="I51" s="24"/>
      <c r="J51" s="24"/>
      <c r="K51" s="24"/>
      <c r="L51" s="24"/>
      <c r="M51" s="24"/>
      <c r="N51" s="24"/>
      <c r="O51" s="24"/>
      <c r="P51" s="24"/>
      <c r="Q51" s="24"/>
      <c r="S51" s="24"/>
    </row>
    <row r="52" spans="2:19" ht="16.5" thickBot="1">
      <c r="F52" s="14"/>
      <c r="S52" s="24"/>
    </row>
    <row r="53" spans="2:19" ht="16.5" thickBot="1">
      <c r="N53" s="26"/>
      <c r="O53" s="27"/>
      <c r="P53" s="26"/>
      <c r="Q53" s="25"/>
      <c r="S53" s="24"/>
    </row>
    <row r="54" spans="2:19" ht="16.5" thickBot="1">
      <c r="S54" s="24"/>
    </row>
    <row r="55" spans="2:19" ht="19.5" thickBot="1">
      <c r="K55" s="486"/>
      <c r="L55" s="486"/>
      <c r="M55" s="486"/>
      <c r="N55" s="505"/>
      <c r="O55" s="505"/>
      <c r="P55" s="505"/>
      <c r="Q55" s="44"/>
      <c r="S55" s="24"/>
    </row>
    <row r="56" spans="2:19">
      <c r="D56" s="508"/>
      <c r="E56" s="508"/>
      <c r="F56" s="28"/>
      <c r="G56" s="506"/>
      <c r="H56" s="506"/>
      <c r="I56" s="506"/>
      <c r="J56" s="506"/>
      <c r="K56" s="506"/>
      <c r="L56" s="506"/>
      <c r="M56" s="506"/>
      <c r="N56" s="506"/>
      <c r="O56" s="506"/>
      <c r="P56" s="506"/>
      <c r="S56" s="24"/>
    </row>
    <row r="57" spans="2:19">
      <c r="F57" s="41"/>
      <c r="S57" s="24"/>
    </row>
    <row r="58" spans="2:19">
      <c r="D58" s="509"/>
      <c r="E58" s="509"/>
      <c r="F58" s="507"/>
      <c r="G58" s="507"/>
      <c r="H58" s="30"/>
      <c r="I58" s="510"/>
      <c r="J58" s="510"/>
      <c r="K58" s="510"/>
      <c r="L58" s="510"/>
      <c r="M58" s="510"/>
      <c r="N58" s="510"/>
      <c r="O58" s="510"/>
      <c r="P58" s="510"/>
      <c r="Q58" s="510"/>
      <c r="S58" s="24"/>
    </row>
    <row r="59" spans="2:19">
      <c r="F59" s="41"/>
      <c r="J59" s="482"/>
      <c r="K59" s="482"/>
      <c r="L59" s="482"/>
      <c r="M59" s="482"/>
      <c r="N59" s="482"/>
      <c r="O59" s="482"/>
      <c r="P59" s="482"/>
      <c r="S59" s="24"/>
    </row>
    <row r="60" spans="2:19">
      <c r="S60" s="24"/>
    </row>
    <row r="61" spans="2:19">
      <c r="D61" s="502"/>
      <c r="E61" s="503"/>
      <c r="F61" s="33"/>
      <c r="S61" s="24"/>
    </row>
    <row r="62" spans="2:19">
      <c r="D62" s="29"/>
      <c r="E62" s="29"/>
      <c r="F62" s="43"/>
      <c r="G62" s="29"/>
      <c r="H62" s="29"/>
      <c r="I62" s="29"/>
      <c r="J62" s="29"/>
      <c r="K62" s="29"/>
      <c r="L62" s="29"/>
      <c r="M62" s="29"/>
      <c r="N62" s="29"/>
      <c r="O62" s="29"/>
      <c r="P62" s="29"/>
      <c r="S62" s="24"/>
    </row>
    <row r="63" spans="2:19">
      <c r="D63" s="504"/>
      <c r="E63" s="504"/>
      <c r="F63" s="31"/>
      <c r="G63" s="32"/>
      <c r="H63" s="35"/>
      <c r="I63" s="29"/>
      <c r="J63" s="503"/>
      <c r="K63" s="503"/>
      <c r="L63" s="503"/>
      <c r="M63" s="503"/>
      <c r="N63" s="503"/>
      <c r="O63" s="503"/>
      <c r="P63" s="503"/>
      <c r="S63" s="24"/>
    </row>
    <row r="64" spans="2:19">
      <c r="F64" s="41"/>
      <c r="H64" s="433"/>
      <c r="I64" s="433"/>
      <c r="J64" s="433"/>
      <c r="K64" s="433"/>
      <c r="L64" s="433"/>
      <c r="M64" s="433"/>
      <c r="N64" s="433"/>
      <c r="O64" s="433"/>
      <c r="P64" s="433"/>
      <c r="S64" s="24"/>
    </row>
    <row r="65" spans="4:19">
      <c r="H65" s="481"/>
      <c r="I65" s="481"/>
      <c r="J65" s="481"/>
      <c r="K65" s="481"/>
      <c r="L65" s="481"/>
      <c r="M65" s="481"/>
      <c r="N65" s="481"/>
      <c r="O65" s="481"/>
      <c r="P65" s="481"/>
      <c r="S65" s="24"/>
    </row>
    <row r="66" spans="4:19">
      <c r="F66" s="34"/>
      <c r="H66" s="36"/>
      <c r="I66" s="36"/>
      <c r="J66" s="481"/>
      <c r="K66" s="481"/>
      <c r="L66" s="481"/>
      <c r="M66" s="481"/>
      <c r="N66" s="481"/>
      <c r="O66" s="36"/>
      <c r="P66" s="36"/>
      <c r="S66" s="24"/>
    </row>
    <row r="67" spans="4:19">
      <c r="F67" s="42"/>
      <c r="H67" s="36"/>
      <c r="I67" s="36"/>
      <c r="J67" s="37"/>
      <c r="K67" s="36"/>
      <c r="L67" s="36"/>
      <c r="M67" s="39"/>
      <c r="N67" s="36"/>
      <c r="O67" s="36"/>
      <c r="P67" s="36"/>
      <c r="S67" s="24"/>
    </row>
    <row r="68" spans="4:19">
      <c r="F68" s="500"/>
      <c r="G68" s="501"/>
      <c r="H68" s="36"/>
      <c r="I68" s="36"/>
      <c r="J68" s="38"/>
      <c r="K68" s="36"/>
      <c r="L68" s="36"/>
      <c r="M68" s="39"/>
      <c r="N68" s="36"/>
      <c r="O68" s="36"/>
      <c r="P68" s="36"/>
      <c r="S68" s="24"/>
    </row>
    <row r="69" spans="4:19">
      <c r="F69" s="41"/>
      <c r="H69" s="36"/>
      <c r="I69" s="36"/>
      <c r="J69" s="36"/>
      <c r="K69" s="36"/>
      <c r="L69" s="36"/>
      <c r="M69" s="40"/>
      <c r="N69" s="36"/>
      <c r="O69" s="36"/>
      <c r="P69" s="36"/>
      <c r="S69" s="24"/>
    </row>
    <row r="70" spans="4:19">
      <c r="S70" s="24"/>
    </row>
    <row r="71" spans="4:19" ht="16.5" thickBot="1">
      <c r="D71" s="45"/>
      <c r="E71" s="45"/>
      <c r="F71" s="45"/>
      <c r="G71" s="45"/>
      <c r="H71" s="45"/>
      <c r="I71" s="45"/>
      <c r="J71" s="45"/>
      <c r="K71" s="45"/>
      <c r="L71" s="45"/>
      <c r="M71" s="45"/>
      <c r="N71" s="45"/>
      <c r="O71" s="45"/>
      <c r="P71" s="45"/>
      <c r="Q71" s="45"/>
      <c r="R71" s="45"/>
      <c r="S71" s="24"/>
    </row>
    <row r="72" spans="4:19" ht="16.5" thickBot="1">
      <c r="M72" s="446"/>
      <c r="N72" s="447"/>
      <c r="O72" s="447"/>
      <c r="P72" s="521"/>
      <c r="Q72" s="25"/>
      <c r="S72" s="24"/>
    </row>
    <row r="73" spans="4:19" ht="16.5" thickBot="1">
      <c r="S73" s="24"/>
    </row>
    <row r="74" spans="4:19" ht="16.5" thickBot="1">
      <c r="D74" s="51"/>
      <c r="L74" s="51"/>
      <c r="M74" s="446"/>
      <c r="N74" s="447"/>
      <c r="O74" s="447"/>
      <c r="P74" s="447"/>
      <c r="Q74" s="521"/>
      <c r="S74" s="24"/>
    </row>
    <row r="75" spans="4:19" ht="16.5" thickBot="1">
      <c r="Q75" s="23"/>
      <c r="S75" s="24"/>
    </row>
    <row r="76" spans="4:19">
      <c r="M76" s="480"/>
      <c r="N76" s="480"/>
      <c r="O76" s="480"/>
      <c r="S76" s="24"/>
    </row>
    <row r="77" spans="4:19">
      <c r="O77" s="53"/>
      <c r="S77" s="24"/>
    </row>
    <row r="78" spans="4:19">
      <c r="K78" s="451"/>
      <c r="L78" s="464"/>
      <c r="M78" s="480"/>
      <c r="N78" s="480"/>
      <c r="O78" s="480"/>
      <c r="P78" s="480"/>
      <c r="Q78" s="2"/>
      <c r="S78" s="24"/>
    </row>
    <row r="79" spans="4:19">
      <c r="K79" s="451"/>
      <c r="L79" s="464"/>
      <c r="M79" s="480"/>
      <c r="N79" s="480"/>
      <c r="O79" s="480"/>
      <c r="P79" s="480"/>
      <c r="Q79" s="2"/>
      <c r="S79" s="24"/>
    </row>
    <row r="80" spans="4:19">
      <c r="S80" s="24"/>
    </row>
    <row r="81" spans="4:20">
      <c r="S81" s="24"/>
    </row>
    <row r="82" spans="4:20" ht="16.5" thickBot="1">
      <c r="D82" s="45"/>
      <c r="E82" s="45"/>
      <c r="F82" s="45"/>
      <c r="G82" s="45"/>
      <c r="H82" s="45"/>
      <c r="I82" s="45"/>
      <c r="J82" s="45"/>
      <c r="K82" s="45"/>
      <c r="L82" s="45"/>
      <c r="M82" s="45"/>
      <c r="N82" s="45"/>
      <c r="O82" s="45"/>
      <c r="P82" s="45"/>
      <c r="Q82" s="45"/>
      <c r="R82" s="45"/>
      <c r="S82" s="24"/>
    </row>
    <row r="83" spans="4:20" ht="19.5" thickBot="1">
      <c r="M83" s="518"/>
      <c r="N83" s="519"/>
      <c r="O83" s="519"/>
      <c r="P83" s="520"/>
      <c r="Q83" s="25"/>
      <c r="S83" s="24"/>
    </row>
    <row r="84" spans="4:20">
      <c r="J84" s="531"/>
      <c r="K84" s="532"/>
      <c r="L84" s="533"/>
      <c r="M84" s="522"/>
      <c r="N84" s="523"/>
      <c r="O84" s="523"/>
      <c r="P84" s="524"/>
      <c r="Q84" s="61"/>
      <c r="S84" s="24"/>
    </row>
    <row r="85" spans="4:20">
      <c r="H85" s="451"/>
      <c r="I85" s="451"/>
      <c r="J85" s="464"/>
      <c r="K85" s="433"/>
      <c r="L85" s="433"/>
      <c r="M85" s="433"/>
      <c r="N85" s="433"/>
      <c r="O85" s="433"/>
      <c r="Q85" s="57"/>
      <c r="S85" s="24"/>
    </row>
    <row r="86" spans="4:20">
      <c r="H86" s="451"/>
      <c r="I86" s="451"/>
      <c r="J86" s="464"/>
      <c r="K86" s="54"/>
      <c r="L86" s="55"/>
      <c r="M86" s="55"/>
      <c r="N86" s="55"/>
      <c r="O86" s="56"/>
      <c r="P86" s="60"/>
      <c r="Q86" s="57"/>
      <c r="S86" s="24"/>
    </row>
    <row r="87" spans="4:20">
      <c r="L87" s="57"/>
      <c r="M87" s="433"/>
      <c r="N87" s="433"/>
      <c r="O87" s="433"/>
      <c r="P87" s="60"/>
      <c r="Q87" s="73"/>
      <c r="S87" s="24"/>
    </row>
    <row r="88" spans="4:20">
      <c r="F88" s="80"/>
      <c r="L88" s="433"/>
      <c r="M88" s="433"/>
      <c r="N88" s="433"/>
      <c r="O88" s="433"/>
      <c r="P88" s="60"/>
      <c r="Q88" s="57"/>
      <c r="S88" s="24"/>
    </row>
    <row r="89" spans="4:20">
      <c r="F89" s="79"/>
      <c r="K89" s="58"/>
      <c r="L89" s="59"/>
      <c r="M89" s="433"/>
      <c r="N89" s="433"/>
      <c r="O89" s="433"/>
      <c r="P89" s="513"/>
      <c r="Q89" s="57"/>
      <c r="S89" s="24"/>
    </row>
    <row r="90" spans="4:20">
      <c r="L90" s="57"/>
      <c r="M90" s="433"/>
      <c r="N90" s="433"/>
      <c r="O90" s="433"/>
      <c r="P90" s="513"/>
      <c r="Q90" s="57"/>
      <c r="S90" s="24"/>
      <c r="T90" t="s">
        <v>16</v>
      </c>
    </row>
    <row r="91" spans="4:20" ht="16.5" thickBot="1">
      <c r="L91" s="57"/>
      <c r="M91" s="513"/>
      <c r="N91" s="525"/>
      <c r="O91" s="525"/>
      <c r="P91" s="526"/>
      <c r="Q91" s="74"/>
      <c r="S91" s="24"/>
    </row>
    <row r="92" spans="4:20" ht="16.5" thickBot="1">
      <c r="P92" s="75"/>
      <c r="Q92" s="76"/>
      <c r="R92" s="77"/>
      <c r="S92" s="24"/>
    </row>
    <row r="93" spans="4:20">
      <c r="F93" s="527"/>
      <c r="G93" s="527"/>
      <c r="H93" s="527"/>
      <c r="I93" s="527"/>
      <c r="J93" s="527"/>
      <c r="K93" s="527"/>
      <c r="L93" s="527"/>
      <c r="M93" s="527"/>
      <c r="N93" s="527"/>
      <c r="O93" s="527"/>
      <c r="P93" s="527"/>
      <c r="Q93" s="527"/>
      <c r="R93" s="527"/>
      <c r="S93" s="24"/>
    </row>
    <row r="94" spans="4:20">
      <c r="F94" s="528"/>
      <c r="G94" s="529"/>
      <c r="H94" s="529"/>
      <c r="I94" s="529"/>
      <c r="J94" s="529"/>
      <c r="K94" s="529"/>
      <c r="L94" s="529"/>
      <c r="M94" s="529"/>
      <c r="N94" s="529"/>
      <c r="O94" s="529"/>
      <c r="P94" s="529"/>
      <c r="Q94" s="529"/>
      <c r="R94" s="530"/>
      <c r="S94" s="24"/>
    </row>
    <row r="95" spans="4:20" ht="16.5" thickBot="1">
      <c r="E95" s="87"/>
      <c r="F95" s="87"/>
      <c r="G95" s="87"/>
      <c r="H95" s="87"/>
      <c r="I95" s="87"/>
      <c r="J95" s="87"/>
      <c r="K95" s="87"/>
      <c r="L95" s="87"/>
      <c r="M95" s="87"/>
      <c r="N95" s="87"/>
      <c r="O95" s="87"/>
      <c r="P95" s="87"/>
      <c r="Q95" s="87"/>
      <c r="R95" s="87"/>
      <c r="S95" s="24"/>
    </row>
    <row r="96" spans="4:20" ht="16.5" thickBot="1">
      <c r="O96" s="429"/>
      <c r="P96" s="437"/>
      <c r="Q96" s="78"/>
      <c r="S96" s="24"/>
    </row>
    <row r="97" spans="5:19">
      <c r="S97" s="24"/>
    </row>
    <row r="98" spans="5:19">
      <c r="Q98" s="511"/>
      <c r="R98" s="511"/>
      <c r="S98" s="24"/>
    </row>
    <row r="99" spans="5:19">
      <c r="S99" s="24"/>
    </row>
    <row r="100" spans="5:19">
      <c r="S100" s="24"/>
    </row>
    <row r="101" spans="5:19">
      <c r="S101" s="24"/>
    </row>
    <row r="102" spans="5:19">
      <c r="G102" s="46"/>
      <c r="M102" s="62"/>
      <c r="S102" s="24"/>
    </row>
    <row r="103" spans="5:19" ht="16.5" thickBot="1">
      <c r="E103" s="87"/>
      <c r="F103" s="87"/>
      <c r="G103" s="87"/>
      <c r="H103" s="87"/>
      <c r="I103" s="87"/>
      <c r="J103" s="87"/>
      <c r="K103" s="87"/>
      <c r="L103" s="87"/>
      <c r="M103" s="87"/>
      <c r="N103" s="87"/>
      <c r="O103" s="87"/>
      <c r="P103" s="87"/>
      <c r="Q103" s="87"/>
      <c r="R103" s="87"/>
      <c r="S103" s="24"/>
    </row>
    <row r="104" spans="5:19" ht="16.5" thickBot="1">
      <c r="N104" s="443"/>
      <c r="O104" s="444"/>
      <c r="P104" s="445"/>
      <c r="Q104" s="78"/>
      <c r="S104" s="24"/>
    </row>
    <row r="105" spans="5:19" ht="16.5" thickBot="1">
      <c r="S105" s="24"/>
    </row>
    <row r="106" spans="5:19" ht="16.5" thickBot="1">
      <c r="M106" s="83"/>
      <c r="N106" s="440"/>
      <c r="O106" s="441"/>
      <c r="P106" s="512"/>
      <c r="Q106" s="81"/>
      <c r="S106" s="24"/>
    </row>
    <row r="107" spans="5:19" ht="16.5" thickBot="1">
      <c r="M107" s="82"/>
      <c r="N107" s="440"/>
      <c r="O107" s="441"/>
      <c r="P107" s="442"/>
      <c r="Q107" s="81"/>
      <c r="S107" s="24"/>
    </row>
    <row r="108" spans="5:19" ht="19.5" thickBot="1">
      <c r="P108" s="84"/>
      <c r="Q108" s="150"/>
      <c r="S108" s="24"/>
    </row>
    <row r="109" spans="5:19">
      <c r="S109" s="24"/>
    </row>
    <row r="110" spans="5:19" ht="16.5" thickBot="1">
      <c r="E110" s="87"/>
      <c r="F110" s="87"/>
      <c r="G110" s="87"/>
      <c r="H110" s="87"/>
      <c r="I110" s="87"/>
      <c r="J110" s="87"/>
      <c r="K110" s="87"/>
      <c r="L110" s="87"/>
      <c r="M110" s="87"/>
      <c r="N110" s="87"/>
      <c r="O110" s="87"/>
      <c r="P110" s="87"/>
      <c r="Q110" s="87"/>
      <c r="R110" s="87"/>
      <c r="S110" s="24"/>
    </row>
    <row r="111" spans="5:19" ht="16.5" thickBot="1">
      <c r="N111" s="443"/>
      <c r="O111" s="444"/>
      <c r="P111" s="445"/>
      <c r="Q111" s="78"/>
      <c r="S111" s="24"/>
    </row>
    <row r="112" spans="5:19">
      <c r="S112" s="45"/>
    </row>
    <row r="113" spans="12:19">
      <c r="S113" s="45"/>
    </row>
    <row r="114" spans="12:19">
      <c r="S114" s="45"/>
    </row>
    <row r="115" spans="12:19" ht="16.5" thickBot="1">
      <c r="S115" s="45"/>
    </row>
    <row r="116" spans="12:19" ht="16.5" thickBot="1">
      <c r="L116" s="448"/>
      <c r="M116" s="449"/>
      <c r="N116" s="449"/>
      <c r="O116" s="449"/>
      <c r="P116" s="449"/>
      <c r="Q116" s="450"/>
      <c r="R116" s="151"/>
      <c r="S116" s="45"/>
    </row>
    <row r="117" spans="12:19">
      <c r="S117" s="45"/>
    </row>
    <row r="118" spans="12:19">
      <c r="S118" s="45"/>
    </row>
    <row r="119" spans="12:19">
      <c r="S119" s="45"/>
    </row>
    <row r="120" spans="12:19">
      <c r="S120" s="45"/>
    </row>
    <row r="121" spans="12:19">
      <c r="S121" s="45"/>
    </row>
    <row r="122" spans="12:19">
      <c r="S122" s="45"/>
    </row>
    <row r="123" spans="12:19">
      <c r="S123" s="45"/>
    </row>
    <row r="124" spans="12:19">
      <c r="S124" s="45"/>
    </row>
    <row r="125" spans="12:19">
      <c r="S125" s="45"/>
    </row>
    <row r="126" spans="12:19">
      <c r="S126" s="45"/>
    </row>
    <row r="127" spans="12:19">
      <c r="S127" s="45"/>
    </row>
    <row r="128" spans="12:19">
      <c r="S128" s="45"/>
    </row>
    <row r="129" spans="5:19">
      <c r="S129" s="45"/>
    </row>
    <row r="130" spans="5:19">
      <c r="S130" s="45"/>
    </row>
    <row r="131" spans="5:19">
      <c r="S131" s="45"/>
    </row>
    <row r="132" spans="5:19">
      <c r="S132" s="45"/>
    </row>
    <row r="133" spans="5:19">
      <c r="S133" s="45"/>
    </row>
    <row r="134" spans="5:19">
      <c r="S134" s="45"/>
    </row>
    <row r="135" spans="5:19">
      <c r="S135" s="45"/>
    </row>
    <row r="136" spans="5:19" ht="16.5" thickBot="1">
      <c r="E136" s="87"/>
      <c r="F136" s="87"/>
      <c r="G136" s="87"/>
      <c r="H136" s="87"/>
      <c r="I136" s="87"/>
      <c r="J136" s="87"/>
      <c r="K136" s="87"/>
      <c r="L136" s="87"/>
      <c r="M136" s="87"/>
      <c r="N136" s="87"/>
      <c r="O136" s="87"/>
      <c r="P136" s="87"/>
      <c r="Q136" s="87"/>
      <c r="R136" s="87"/>
      <c r="S136" s="45"/>
    </row>
    <row r="137" spans="5:19" ht="16.5" thickBot="1">
      <c r="L137" s="452"/>
      <c r="M137" s="453"/>
      <c r="N137" s="453"/>
      <c r="O137" s="453"/>
      <c r="P137" s="454"/>
      <c r="Q137" s="88"/>
      <c r="S137" s="45"/>
    </row>
    <row r="138" spans="5:19">
      <c r="S138" s="45"/>
    </row>
    <row r="139" spans="5:19">
      <c r="L139" s="455"/>
      <c r="M139" s="451"/>
      <c r="N139" s="451"/>
      <c r="O139" s="451"/>
      <c r="P139" s="451"/>
      <c r="Q139" s="220"/>
      <c r="S139" s="45"/>
    </row>
    <row r="140" spans="5:19" ht="16.5" thickBot="1">
      <c r="S140" s="45"/>
    </row>
    <row r="141" spans="5:19" ht="16.5" thickBot="1">
      <c r="J141" s="456"/>
      <c r="K141" s="457"/>
      <c r="L141" s="456"/>
      <c r="M141" s="457"/>
      <c r="N141" s="458"/>
      <c r="O141" s="89"/>
      <c r="S141" s="45"/>
    </row>
    <row r="142" spans="5:19">
      <c r="S142" s="45"/>
    </row>
    <row r="143" spans="5:19">
      <c r="M143" s="451"/>
      <c r="N143" s="451"/>
      <c r="S143" s="45"/>
    </row>
    <row r="144" spans="5:19">
      <c r="M144" s="451"/>
      <c r="N144" s="451"/>
      <c r="S144" s="45"/>
    </row>
    <row r="145" spans="1:19">
      <c r="S145" s="45"/>
    </row>
    <row r="146" spans="1:19">
      <c r="I146" s="451"/>
      <c r="J146" s="451"/>
      <c r="K146" s="451"/>
      <c r="L146" s="451"/>
      <c r="M146" s="451"/>
      <c r="N146" s="451"/>
      <c r="O146" s="451"/>
      <c r="P146" s="451"/>
      <c r="Q146" s="451"/>
      <c r="S146" s="45"/>
    </row>
    <row r="147" spans="1:19">
      <c r="S147" s="45"/>
    </row>
    <row r="148" spans="1:19">
      <c r="J148" s="451"/>
      <c r="K148" s="451"/>
      <c r="M148" s="451"/>
      <c r="N148" s="451"/>
      <c r="O148" s="20"/>
      <c r="S148" s="45"/>
    </row>
    <row r="149" spans="1:19">
      <c r="S149" s="45"/>
    </row>
    <row r="150" spans="1:19">
      <c r="A150" s="87"/>
      <c r="B150" s="87"/>
      <c r="C150" s="87"/>
      <c r="D150" s="87"/>
      <c r="E150" s="87"/>
      <c r="F150" s="87"/>
      <c r="G150" s="87"/>
      <c r="H150" s="87"/>
      <c r="I150" s="87"/>
      <c r="J150" s="87"/>
      <c r="K150" s="87"/>
      <c r="L150" s="87"/>
      <c r="M150" s="87"/>
      <c r="N150" s="87"/>
      <c r="O150" s="87"/>
      <c r="P150" s="87"/>
      <c r="Q150" s="87"/>
      <c r="R150" s="87"/>
      <c r="S150" s="45"/>
    </row>
    <row r="151" spans="1:19" ht="16.5" thickBot="1">
      <c r="H151" s="86"/>
      <c r="S151" s="45"/>
    </row>
    <row r="152" spans="1:19" ht="16.5" thickBot="1">
      <c r="L152" s="452"/>
      <c r="M152" s="453"/>
      <c r="N152" s="453"/>
      <c r="O152" s="453"/>
      <c r="P152" s="454"/>
      <c r="Q152" s="88"/>
      <c r="S152" s="45"/>
    </row>
    <row r="153" spans="1:19">
      <c r="S153" s="45"/>
    </row>
    <row r="154" spans="1:19">
      <c r="J154" s="57"/>
      <c r="K154" s="57"/>
      <c r="L154" s="57"/>
      <c r="M154" s="57"/>
      <c r="N154" s="57"/>
      <c r="O154" s="57"/>
      <c r="P154" s="57"/>
      <c r="Q154" s="57"/>
      <c r="R154" s="57"/>
      <c r="S154" s="45"/>
    </row>
    <row r="155" spans="1:19">
      <c r="J155" s="57"/>
      <c r="K155" s="57"/>
      <c r="L155" s="439"/>
      <c r="M155" s="434"/>
      <c r="N155" s="434"/>
      <c r="O155" s="434"/>
      <c r="P155" s="434"/>
      <c r="Q155" s="149"/>
      <c r="R155" s="57"/>
      <c r="S155" s="45"/>
    </row>
    <row r="156" spans="1:19">
      <c r="J156" s="57"/>
      <c r="K156" s="57"/>
      <c r="L156" s="57"/>
      <c r="M156" s="57"/>
      <c r="N156" s="57"/>
      <c r="O156" s="57"/>
      <c r="P156" s="91"/>
      <c r="Q156" s="57"/>
      <c r="R156" s="57"/>
      <c r="S156" s="45"/>
    </row>
    <row r="157" spans="1:19">
      <c r="J157" s="57"/>
      <c r="K157" s="57"/>
      <c r="L157" s="433"/>
      <c r="M157" s="433"/>
      <c r="N157" s="433"/>
      <c r="O157" s="433"/>
      <c r="P157" s="433"/>
      <c r="Q157" s="57"/>
      <c r="R157" s="57"/>
      <c r="S157" s="45"/>
    </row>
    <row r="158" spans="1:19">
      <c r="J158" s="57"/>
      <c r="K158" s="57"/>
      <c r="L158" s="433"/>
      <c r="M158" s="433"/>
      <c r="N158" s="433"/>
      <c r="O158" s="433"/>
      <c r="P158" s="433"/>
      <c r="Q158" s="57"/>
      <c r="R158" s="57"/>
      <c r="S158" s="45"/>
    </row>
    <row r="159" spans="1:19">
      <c r="J159" s="57"/>
      <c r="K159" s="57"/>
      <c r="L159" s="57"/>
      <c r="M159" s="57"/>
      <c r="N159" s="513"/>
      <c r="O159" s="525"/>
      <c r="P159" s="534"/>
      <c r="Q159" s="57"/>
      <c r="R159" s="57"/>
      <c r="S159" s="45"/>
    </row>
    <row r="160" spans="1:19">
      <c r="J160" s="57"/>
      <c r="K160" s="433"/>
      <c r="L160" s="433"/>
      <c r="M160" s="543"/>
      <c r="N160" s="544"/>
      <c r="O160" s="544"/>
      <c r="P160" s="545"/>
      <c r="Q160" s="57"/>
      <c r="R160" s="57"/>
      <c r="S160" s="45"/>
    </row>
    <row r="161" spans="4:19">
      <c r="J161" s="57"/>
      <c r="K161" s="57"/>
      <c r="L161" s="538"/>
      <c r="M161" s="538"/>
      <c r="N161" s="538"/>
      <c r="O161" s="538"/>
      <c r="P161" s="538"/>
      <c r="Q161" s="57"/>
      <c r="R161" s="57"/>
      <c r="S161" s="45"/>
    </row>
    <row r="162" spans="4:19">
      <c r="L162" s="548"/>
      <c r="M162" s="548"/>
      <c r="N162" s="548"/>
      <c r="O162" s="548"/>
      <c r="P162" s="548"/>
      <c r="Q162" s="90"/>
      <c r="R162" s="90"/>
      <c r="S162" s="45"/>
    </row>
    <row r="163" spans="4:19">
      <c r="L163" s="57"/>
      <c r="M163" s="513"/>
      <c r="N163" s="525"/>
      <c r="O163" s="525"/>
      <c r="P163" s="534"/>
      <c r="Q163" s="57"/>
      <c r="R163" s="57"/>
      <c r="S163" s="45"/>
    </row>
    <row r="164" spans="4:19">
      <c r="S164" s="45"/>
    </row>
    <row r="165" spans="4:19">
      <c r="K165" s="539"/>
      <c r="L165" s="546"/>
      <c r="M165" s="546"/>
      <c r="N165" s="546"/>
      <c r="O165" s="546"/>
      <c r="P165" s="547"/>
      <c r="Q165" s="57"/>
      <c r="R165" s="57"/>
      <c r="S165" s="45"/>
    </row>
    <row r="166" spans="4:19">
      <c r="S166" s="45"/>
    </row>
    <row r="167" spans="4:19">
      <c r="K167" s="513"/>
      <c r="L167" s="525"/>
      <c r="M167" s="525"/>
      <c r="N167" s="525"/>
      <c r="O167" s="525"/>
      <c r="P167" s="534"/>
      <c r="Q167" s="57"/>
      <c r="R167" s="57"/>
      <c r="S167" s="45"/>
    </row>
    <row r="168" spans="4:19">
      <c r="O168" s="433"/>
      <c r="P168" s="433"/>
      <c r="Q168" s="57"/>
      <c r="R168" s="57"/>
      <c r="S168" s="45"/>
    </row>
    <row r="169" spans="4:19">
      <c r="O169" s="433"/>
      <c r="P169" s="433"/>
      <c r="Q169" s="57"/>
      <c r="R169" s="57"/>
      <c r="S169" s="45"/>
    </row>
    <row r="170" spans="4:19">
      <c r="S170" s="45"/>
    </row>
    <row r="171" spans="4:19">
      <c r="L171" s="433"/>
      <c r="M171" s="433"/>
      <c r="N171" s="433"/>
      <c r="O171" s="433"/>
      <c r="P171" s="433"/>
      <c r="Q171" s="57"/>
      <c r="S171" s="45"/>
    </row>
    <row r="172" spans="4:19">
      <c r="S172" s="45"/>
    </row>
    <row r="173" spans="4:19" ht="16.5" thickBot="1">
      <c r="D173" s="97"/>
      <c r="E173" s="97"/>
      <c r="F173" s="97"/>
      <c r="G173" s="97"/>
      <c r="H173" s="97"/>
      <c r="I173" s="97"/>
      <c r="J173" s="97"/>
      <c r="K173" s="97"/>
      <c r="L173" s="97"/>
      <c r="M173" s="97"/>
      <c r="N173" s="97"/>
      <c r="O173" s="97"/>
      <c r="P173" s="97"/>
      <c r="Q173" s="97"/>
      <c r="R173" s="97"/>
      <c r="S173" s="45"/>
    </row>
    <row r="174" spans="4:19" ht="16.5" thickBot="1">
      <c r="L174" s="429"/>
      <c r="M174" s="437"/>
      <c r="N174" s="437"/>
      <c r="O174" s="437"/>
      <c r="P174" s="438"/>
      <c r="Q174" s="88"/>
      <c r="S174" s="45"/>
    </row>
    <row r="175" spans="4:19" ht="16.5" thickBot="1">
      <c r="S175" s="45"/>
    </row>
    <row r="176" spans="4:19" ht="16.5" thickBot="1">
      <c r="O176" s="308"/>
      <c r="S176" s="45"/>
    </row>
    <row r="177" spans="4:19">
      <c r="S177" s="45"/>
    </row>
    <row r="178" spans="4:19" ht="16.5" thickBot="1">
      <c r="F178" s="96"/>
      <c r="G178" s="96"/>
      <c r="H178" s="96"/>
      <c r="I178" s="96"/>
      <c r="J178" s="96"/>
      <c r="K178" s="96"/>
      <c r="L178" s="96"/>
      <c r="M178" s="96"/>
      <c r="N178" s="96"/>
      <c r="O178" s="96"/>
      <c r="P178" s="96"/>
      <c r="Q178" s="96"/>
      <c r="R178" s="96"/>
      <c r="S178" s="45"/>
    </row>
    <row r="179" spans="4:19" ht="16.5" thickBot="1">
      <c r="L179" s="429"/>
      <c r="M179" s="437"/>
      <c r="N179" s="437"/>
      <c r="O179" s="437"/>
      <c r="P179" s="438"/>
      <c r="Q179" s="88"/>
      <c r="S179" s="45"/>
    </row>
    <row r="180" spans="4:19">
      <c r="S180" s="45"/>
    </row>
    <row r="181" spans="4:19">
      <c r="M181" s="434"/>
      <c r="N181" s="434"/>
      <c r="O181" s="434"/>
      <c r="P181" s="434"/>
      <c r="Q181" s="95"/>
      <c r="R181" s="94"/>
      <c r="S181" s="45"/>
    </row>
    <row r="182" spans="4:19">
      <c r="S182" s="45"/>
    </row>
    <row r="183" spans="4:19">
      <c r="L183" s="433"/>
      <c r="M183" s="433"/>
      <c r="N183" s="433"/>
      <c r="O183" s="433"/>
      <c r="P183" s="91"/>
      <c r="Q183" s="57"/>
      <c r="S183" s="45"/>
    </row>
    <row r="184" spans="4:19">
      <c r="S184" s="45"/>
    </row>
    <row r="185" spans="4:19">
      <c r="M185" s="433"/>
      <c r="N185" s="433"/>
      <c r="O185" s="433"/>
      <c r="P185" s="57"/>
      <c r="Q185" s="290"/>
      <c r="S185" s="45"/>
    </row>
    <row r="186" spans="4:19">
      <c r="M186" s="57"/>
      <c r="N186" s="57"/>
      <c r="O186" s="57"/>
      <c r="P186" s="57"/>
      <c r="Q186" s="57"/>
      <c r="S186" s="45"/>
    </row>
    <row r="187" spans="4:19" ht="16.5" thickBot="1">
      <c r="D187" s="96"/>
      <c r="E187" s="96"/>
      <c r="F187" s="96"/>
      <c r="G187" s="96"/>
      <c r="H187" s="96"/>
      <c r="I187" s="96"/>
      <c r="J187" s="96"/>
      <c r="K187" s="96"/>
      <c r="L187" s="96"/>
      <c r="M187" s="96"/>
      <c r="N187" s="96"/>
      <c r="O187" s="96"/>
      <c r="P187" s="96"/>
      <c r="Q187" s="96"/>
      <c r="R187" s="96"/>
      <c r="S187" s="45"/>
    </row>
    <row r="188" spans="4:19" ht="16.5" thickBot="1">
      <c r="L188" s="429"/>
      <c r="M188" s="437"/>
      <c r="N188" s="437"/>
      <c r="O188" s="437"/>
      <c r="P188" s="438"/>
      <c r="Q188" s="98"/>
      <c r="S188" s="45"/>
    </row>
    <row r="189" spans="4:19">
      <c r="S189" s="45"/>
    </row>
    <row r="190" spans="4:19">
      <c r="M190" s="434"/>
      <c r="N190" s="434"/>
      <c r="O190" s="434"/>
      <c r="P190" s="434"/>
      <c r="Q190" s="95"/>
      <c r="R190" s="94"/>
      <c r="S190" s="45"/>
    </row>
    <row r="191" spans="4:19">
      <c r="S191" s="45"/>
    </row>
    <row r="192" spans="4:19">
      <c r="K192" s="433"/>
      <c r="L192" s="433"/>
      <c r="M192" s="433"/>
      <c r="N192" s="57"/>
      <c r="O192" s="57"/>
      <c r="P192" s="101"/>
      <c r="Q192" s="57"/>
      <c r="S192" s="45"/>
    </row>
    <row r="193" spans="4:19">
      <c r="N193" s="57"/>
      <c r="S193" s="45"/>
    </row>
    <row r="194" spans="4:19" ht="16.5" thickBot="1">
      <c r="D194" s="96"/>
      <c r="E194" s="96"/>
      <c r="F194" s="96"/>
      <c r="G194" s="96"/>
      <c r="H194" s="96"/>
      <c r="I194" s="96"/>
      <c r="J194" s="96"/>
      <c r="K194" s="96"/>
      <c r="L194" s="96"/>
      <c r="M194" s="96"/>
      <c r="N194" s="96"/>
      <c r="O194" s="96"/>
      <c r="P194" s="96"/>
      <c r="Q194" s="96"/>
      <c r="R194" s="96"/>
      <c r="S194" s="45"/>
    </row>
    <row r="195" spans="4:19" ht="16.5" thickBot="1">
      <c r="L195" s="429"/>
      <c r="M195" s="437"/>
      <c r="N195" s="437"/>
      <c r="O195" s="437"/>
      <c r="P195" s="438"/>
      <c r="Q195" s="107"/>
      <c r="S195" s="45"/>
    </row>
    <row r="196" spans="4:19">
      <c r="S196" s="45"/>
    </row>
    <row r="197" spans="4:19">
      <c r="M197" s="434"/>
      <c r="N197" s="434"/>
      <c r="O197" s="434"/>
      <c r="P197" s="434"/>
      <c r="Q197" s="95"/>
      <c r="R197" s="94"/>
      <c r="S197" s="45"/>
    </row>
    <row r="198" spans="4:19">
      <c r="S198" s="45"/>
    </row>
    <row r="199" spans="4:19">
      <c r="N199" s="433"/>
      <c r="O199" s="433"/>
      <c r="P199" s="433"/>
      <c r="Q199" s="57"/>
      <c r="R199" s="57"/>
      <c r="S199" s="45"/>
    </row>
    <row r="200" spans="4:19">
      <c r="S200" s="45"/>
    </row>
    <row r="201" spans="4:19" ht="16.5" thickBot="1">
      <c r="D201" s="45"/>
      <c r="E201" s="45"/>
      <c r="F201" s="45"/>
      <c r="G201" s="45"/>
      <c r="H201" s="45"/>
      <c r="I201" s="45"/>
      <c r="J201" s="45"/>
      <c r="K201" s="45"/>
      <c r="L201" s="45"/>
      <c r="M201" s="45"/>
      <c r="N201" s="45"/>
      <c r="O201" s="45"/>
      <c r="P201" s="45"/>
      <c r="Q201" s="45"/>
      <c r="R201" s="45"/>
      <c r="S201" s="45"/>
    </row>
    <row r="202" spans="4:19" ht="16.5" thickBot="1">
      <c r="N202" s="446"/>
      <c r="O202" s="447"/>
      <c r="P202" s="447"/>
      <c r="Q202" s="25"/>
      <c r="S202" s="45"/>
    </row>
    <row r="203" spans="4:19">
      <c r="S203" s="45"/>
    </row>
    <row r="204" spans="4:19">
      <c r="K204" s="433"/>
      <c r="L204" s="433"/>
      <c r="M204" s="434"/>
      <c r="N204" s="434"/>
      <c r="O204" s="434"/>
      <c r="P204" s="57"/>
      <c r="Q204" s="309"/>
      <c r="S204" s="45"/>
    </row>
    <row r="205" spans="4:19">
      <c r="K205" s="433"/>
      <c r="L205" s="433"/>
      <c r="M205" s="433"/>
      <c r="N205" s="433"/>
      <c r="O205" s="433"/>
      <c r="P205" s="57"/>
      <c r="Q205" s="152"/>
      <c r="S205" s="45"/>
    </row>
    <row r="206" spans="4:19">
      <c r="S206" s="45"/>
    </row>
    <row r="207" spans="4:19" ht="16.5" thickBot="1">
      <c r="E207" s="45"/>
      <c r="F207" s="45"/>
      <c r="G207" s="45"/>
      <c r="H207" s="45"/>
      <c r="I207" s="45"/>
      <c r="J207" s="45"/>
      <c r="K207" s="45"/>
      <c r="L207" s="45"/>
      <c r="M207" s="45"/>
      <c r="N207" s="45"/>
      <c r="O207" s="45"/>
      <c r="P207" s="45"/>
      <c r="Q207" s="45"/>
      <c r="R207" s="45"/>
      <c r="S207" s="45"/>
    </row>
    <row r="208" spans="4:19" ht="16.5" thickBot="1">
      <c r="N208" s="446"/>
      <c r="O208" s="447"/>
      <c r="P208" s="521"/>
      <c r="Q208" s="108"/>
      <c r="S208" s="45"/>
    </row>
    <row r="209" spans="1:19">
      <c r="S209" s="45"/>
    </row>
    <row r="210" spans="1:19">
      <c r="O210" s="451"/>
      <c r="P210" s="451"/>
      <c r="Q210" s="291"/>
      <c r="S210" s="45"/>
    </row>
    <row r="211" spans="1:19">
      <c r="S211" s="45"/>
    </row>
    <row r="212" spans="1:19">
      <c r="N212" s="451"/>
      <c r="O212" s="451"/>
      <c r="P212" s="451"/>
      <c r="S212" s="45"/>
    </row>
    <row r="213" spans="1:19">
      <c r="A213" s="45"/>
      <c r="B213" s="45"/>
      <c r="C213" s="45"/>
      <c r="D213" s="45"/>
      <c r="E213" s="45"/>
      <c r="F213" s="45"/>
      <c r="G213" s="45"/>
      <c r="H213" s="45"/>
      <c r="I213" s="45"/>
      <c r="J213" s="45"/>
      <c r="K213" s="45"/>
      <c r="L213" s="45"/>
      <c r="M213" s="45"/>
      <c r="N213" s="45"/>
      <c r="O213" s="45"/>
      <c r="P213" s="45"/>
      <c r="Q213" s="45"/>
      <c r="R213" s="45"/>
      <c r="S213" s="45"/>
    </row>
    <row r="214" spans="1:19" ht="16.5" thickBot="1">
      <c r="A214" s="45"/>
      <c r="B214" s="45"/>
      <c r="C214" s="45"/>
      <c r="D214" s="45"/>
      <c r="E214" s="45"/>
      <c r="F214" s="45"/>
      <c r="G214" s="45"/>
      <c r="H214" s="45"/>
      <c r="I214" s="45"/>
      <c r="J214" s="45"/>
      <c r="K214" s="45"/>
      <c r="L214" s="45"/>
      <c r="M214" s="45"/>
      <c r="N214" s="45"/>
      <c r="O214" s="45"/>
      <c r="P214" s="45"/>
      <c r="Q214" s="45"/>
      <c r="R214" s="45"/>
      <c r="S214" s="45"/>
    </row>
    <row r="215" spans="1:19" ht="16.5" thickBot="1">
      <c r="N215" s="540"/>
      <c r="O215" s="541"/>
      <c r="P215" s="542"/>
      <c r="Q215" s="109"/>
      <c r="S215" s="45"/>
    </row>
    <row r="216" spans="1:19" ht="16.5" thickBot="1">
      <c r="L216" s="549"/>
      <c r="M216" s="549"/>
      <c r="N216" s="549"/>
      <c r="O216" s="549"/>
      <c r="P216" s="550"/>
      <c r="Q216" s="106"/>
      <c r="S216" s="45"/>
    </row>
    <row r="217" spans="1:19">
      <c r="S217" s="45"/>
    </row>
    <row r="218" spans="1:19">
      <c r="N218" s="434"/>
      <c r="O218" s="434"/>
      <c r="P218" s="434"/>
      <c r="Q218" s="95"/>
      <c r="S218" s="45"/>
    </row>
    <row r="219" spans="1:19">
      <c r="L219" s="451"/>
      <c r="M219" s="451"/>
      <c r="N219" s="451"/>
      <c r="O219" s="451"/>
      <c r="P219" s="451"/>
      <c r="S219" s="45"/>
    </row>
    <row r="220" spans="1:19">
      <c r="L220" s="451"/>
      <c r="M220" s="451"/>
      <c r="N220" s="451"/>
      <c r="O220" s="451"/>
      <c r="P220" s="451"/>
      <c r="S220" s="45"/>
    </row>
    <row r="221" spans="1:19">
      <c r="C221" s="97"/>
      <c r="D221" s="97"/>
      <c r="E221" s="97"/>
      <c r="F221" s="97"/>
      <c r="G221" s="97"/>
      <c r="H221" s="97"/>
      <c r="I221" s="97"/>
      <c r="J221" s="97"/>
      <c r="K221" s="97"/>
      <c r="L221" s="97"/>
      <c r="M221" s="97"/>
      <c r="N221" s="97"/>
      <c r="O221" s="97"/>
      <c r="P221" s="97"/>
      <c r="Q221" s="97"/>
      <c r="R221" s="97"/>
      <c r="S221" s="45"/>
    </row>
    <row r="222" spans="1:19" ht="16.5" thickBot="1">
      <c r="S222" s="45"/>
    </row>
    <row r="223" spans="1:19" ht="19.5" thickBot="1">
      <c r="M223" s="551"/>
      <c r="N223" s="552"/>
      <c r="O223" s="552"/>
      <c r="P223" s="553"/>
      <c r="S223" s="45"/>
    </row>
    <row r="224" spans="1:19" ht="16.5" thickBot="1">
      <c r="J224" s="452"/>
      <c r="K224" s="554"/>
      <c r="L224" s="555"/>
      <c r="M224" s="522"/>
      <c r="N224" s="523"/>
      <c r="O224" s="523"/>
      <c r="P224" s="524"/>
      <c r="Q224" s="85"/>
      <c r="S224" s="45"/>
    </row>
    <row r="225" spans="4:19">
      <c r="H225" s="451"/>
      <c r="I225" s="451"/>
      <c r="J225" s="464"/>
      <c r="K225" s="537"/>
      <c r="L225" s="537"/>
      <c r="M225" s="538"/>
      <c r="N225" s="538"/>
      <c r="O225" s="538"/>
      <c r="Q225" s="57"/>
      <c r="S225" s="45"/>
    </row>
    <row r="226" spans="4:19">
      <c r="H226" s="451"/>
      <c r="I226" s="451"/>
      <c r="J226" s="464"/>
      <c r="K226" s="54"/>
      <c r="L226" s="55"/>
      <c r="M226" s="55"/>
      <c r="N226" s="111"/>
      <c r="O226" s="110"/>
      <c r="P226" s="112"/>
      <c r="Q226" s="57"/>
      <c r="S226" s="45"/>
    </row>
    <row r="227" spans="4:19">
      <c r="L227" s="57"/>
      <c r="M227" s="433"/>
      <c r="N227" s="433"/>
      <c r="O227" s="433"/>
      <c r="P227" s="60"/>
      <c r="Q227" s="73"/>
      <c r="S227" s="45"/>
    </row>
    <row r="228" spans="4:19">
      <c r="L228" s="433"/>
      <c r="M228" s="433"/>
      <c r="N228" s="433"/>
      <c r="O228" s="433"/>
      <c r="P228" s="60"/>
      <c r="Q228" s="57"/>
      <c r="S228" s="45"/>
    </row>
    <row r="229" spans="4:19">
      <c r="K229" s="58"/>
      <c r="L229" s="59"/>
      <c r="M229" s="538"/>
      <c r="N229" s="538"/>
      <c r="O229" s="538"/>
      <c r="P229" s="539"/>
      <c r="Q229" s="57"/>
      <c r="S229" s="45"/>
    </row>
    <row r="230" spans="4:19">
      <c r="L230" s="57"/>
      <c r="M230" s="433"/>
      <c r="N230" s="433"/>
      <c r="O230" s="433"/>
      <c r="P230" s="513"/>
      <c r="Q230" s="57"/>
      <c r="S230" s="45"/>
    </row>
    <row r="231" spans="4:19" ht="16.5" thickBot="1">
      <c r="J231" s="113"/>
      <c r="K231" s="113"/>
      <c r="L231" s="114"/>
      <c r="M231" s="539"/>
      <c r="N231" s="546"/>
      <c r="O231" s="546"/>
      <c r="P231" s="556"/>
      <c r="Q231" s="123"/>
      <c r="S231" s="45"/>
    </row>
    <row r="232" spans="4:19" ht="16.5" thickBot="1">
      <c r="J232" s="113"/>
      <c r="K232" s="113"/>
      <c r="L232" s="113"/>
      <c r="M232" s="113"/>
      <c r="N232" s="113"/>
      <c r="O232" s="113"/>
      <c r="P232" s="116"/>
      <c r="Q232" s="124"/>
      <c r="S232" s="45"/>
    </row>
    <row r="233" spans="4:19">
      <c r="J233" s="113"/>
      <c r="K233" s="113"/>
      <c r="L233" s="113"/>
      <c r="M233" s="113"/>
      <c r="N233" s="113"/>
      <c r="O233" s="113"/>
      <c r="P233" s="113"/>
      <c r="Q233" s="113"/>
      <c r="S233" s="45"/>
    </row>
    <row r="234" spans="4:19">
      <c r="J234" s="113"/>
      <c r="K234" s="113"/>
      <c r="L234" s="113"/>
      <c r="M234" s="113"/>
      <c r="N234" s="113"/>
      <c r="O234" s="535"/>
      <c r="P234" s="536"/>
      <c r="Q234" s="125"/>
      <c r="S234" s="45"/>
    </row>
    <row r="235" spans="4:19">
      <c r="J235" s="113"/>
      <c r="K235" s="113"/>
      <c r="L235" s="113"/>
      <c r="M235" s="113"/>
      <c r="N235" s="113"/>
      <c r="O235" s="113"/>
      <c r="P235" s="113"/>
      <c r="Q235" s="113"/>
      <c r="S235" s="45"/>
    </row>
    <row r="236" spans="4:19" ht="16.5" thickBot="1">
      <c r="D236" s="96"/>
      <c r="E236" s="96"/>
      <c r="F236" s="96"/>
      <c r="G236" s="96"/>
      <c r="H236" s="96"/>
      <c r="I236" s="96"/>
      <c r="J236" s="126"/>
      <c r="K236" s="126"/>
      <c r="L236" s="126"/>
      <c r="M236" s="126"/>
      <c r="N236" s="126"/>
      <c r="O236" s="126"/>
      <c r="P236" s="126"/>
      <c r="Q236" s="126"/>
      <c r="R236" s="96"/>
      <c r="S236" s="45"/>
    </row>
    <row r="237" spans="4:19" ht="16.5" thickBot="1">
      <c r="J237" s="113"/>
      <c r="K237" s="113"/>
      <c r="L237" s="113"/>
      <c r="M237" s="113"/>
      <c r="N237" s="443"/>
      <c r="O237" s="444"/>
      <c r="P237" s="445"/>
      <c r="Q237" s="88"/>
      <c r="S237" s="45"/>
    </row>
    <row r="238" spans="4:19">
      <c r="J238" s="113"/>
      <c r="K238" s="113"/>
      <c r="L238" s="113"/>
      <c r="M238" s="113"/>
      <c r="N238" s="113"/>
      <c r="O238" s="113"/>
      <c r="P238" s="113"/>
      <c r="Q238" s="113"/>
      <c r="S238" s="45"/>
    </row>
    <row r="239" spans="4:19">
      <c r="J239" s="113"/>
      <c r="K239" s="113"/>
      <c r="L239" s="113"/>
      <c r="M239" s="127"/>
      <c r="N239" s="513"/>
      <c r="O239" s="525"/>
      <c r="P239" s="534"/>
      <c r="Q239" s="114"/>
      <c r="S239" s="45"/>
    </row>
    <row r="240" spans="4:19">
      <c r="J240" s="113"/>
      <c r="K240" s="113"/>
      <c r="L240" s="113"/>
      <c r="M240" s="127"/>
      <c r="N240" s="513"/>
      <c r="O240" s="525"/>
      <c r="P240" s="534"/>
      <c r="Q240" s="114"/>
      <c r="S240" s="45"/>
    </row>
    <row r="241" spans="4:19">
      <c r="J241" s="113"/>
      <c r="K241" s="113"/>
      <c r="L241" s="113"/>
      <c r="M241" s="114"/>
      <c r="N241" s="114"/>
      <c r="O241" s="114"/>
      <c r="P241" s="115"/>
      <c r="Q241" s="115"/>
      <c r="S241" s="45"/>
    </row>
    <row r="242" spans="4:19" ht="16.5" thickBot="1">
      <c r="D242" s="96"/>
      <c r="E242" s="96"/>
      <c r="F242" s="96"/>
      <c r="G242" s="96"/>
      <c r="H242" s="96"/>
      <c r="I242" s="96"/>
      <c r="J242" s="126"/>
      <c r="K242" s="126"/>
      <c r="L242" s="126"/>
      <c r="M242" s="126"/>
      <c r="N242" s="126"/>
      <c r="O242" s="126"/>
      <c r="P242" s="126"/>
      <c r="Q242" s="126"/>
      <c r="R242" s="96"/>
      <c r="S242" s="45"/>
    </row>
    <row r="243" spans="4:19" ht="16.5" thickBot="1">
      <c r="J243" s="113"/>
      <c r="K243" s="113"/>
      <c r="L243" s="113"/>
      <c r="M243" s="113"/>
      <c r="N243" s="443"/>
      <c r="O243" s="444"/>
      <c r="P243" s="445"/>
      <c r="Q243" s="88"/>
      <c r="S243" s="45"/>
    </row>
    <row r="244" spans="4:19" ht="16.5" thickBot="1">
      <c r="S244" s="45"/>
    </row>
    <row r="245" spans="4:19" ht="16.5" thickBot="1">
      <c r="L245" s="448"/>
      <c r="M245" s="449"/>
      <c r="N245" s="449"/>
      <c r="O245" s="449"/>
      <c r="P245" s="449"/>
      <c r="Q245" s="450"/>
      <c r="R245" s="85"/>
      <c r="S245" s="45"/>
    </row>
    <row r="246" spans="4:19">
      <c r="S246" s="45"/>
    </row>
    <row r="247" spans="4:19" ht="16.5" thickBot="1">
      <c r="F247" s="96"/>
      <c r="G247" s="96"/>
      <c r="H247" s="96"/>
      <c r="I247" s="96"/>
      <c r="J247" s="96"/>
      <c r="K247" s="96"/>
      <c r="L247" s="96"/>
      <c r="M247" s="96"/>
      <c r="N247" s="96"/>
      <c r="O247" s="96"/>
      <c r="P247" s="96"/>
      <c r="Q247" s="96"/>
      <c r="R247" s="96"/>
      <c r="S247" s="45"/>
    </row>
    <row r="248" spans="4:19" ht="16.5" thickBot="1">
      <c r="L248" s="452"/>
      <c r="M248" s="453"/>
      <c r="N248" s="453"/>
      <c r="O248" s="453"/>
      <c r="P248" s="454"/>
      <c r="Q248" s="88"/>
      <c r="S248" s="45"/>
    </row>
    <row r="249" spans="4:19">
      <c r="S249" s="45"/>
    </row>
    <row r="250" spans="4:19">
      <c r="S250" s="45"/>
    </row>
    <row r="251" spans="4:19">
      <c r="L251" s="439"/>
      <c r="M251" s="434"/>
      <c r="N251" s="434"/>
      <c r="O251" s="434"/>
      <c r="P251" s="434"/>
      <c r="Q251" s="95"/>
      <c r="S251" s="45"/>
    </row>
    <row r="252" spans="4:19" ht="16.5" thickBot="1">
      <c r="S252" s="45"/>
    </row>
    <row r="253" spans="4:19" ht="16.5" thickBot="1">
      <c r="J253" s="456"/>
      <c r="K253" s="457"/>
      <c r="L253" s="456"/>
      <c r="M253" s="457"/>
      <c r="N253" s="458"/>
      <c r="O253" s="89"/>
      <c r="S253" s="45"/>
    </row>
    <row r="254" spans="4:19">
      <c r="S254" s="45"/>
    </row>
    <row r="255" spans="4:19">
      <c r="M255" s="451"/>
      <c r="N255" s="451"/>
      <c r="S255" s="45"/>
    </row>
    <row r="256" spans="4:19">
      <c r="M256" s="451"/>
      <c r="N256" s="451"/>
      <c r="S256" s="45"/>
    </row>
    <row r="257" spans="4:19">
      <c r="S257" s="45"/>
    </row>
    <row r="258" spans="4:19">
      <c r="I258" s="451"/>
      <c r="J258" s="451"/>
      <c r="K258" s="451"/>
      <c r="L258" s="451"/>
      <c r="M258" s="451"/>
      <c r="N258" s="451"/>
      <c r="O258" s="451"/>
      <c r="P258" s="451"/>
      <c r="Q258" s="451"/>
      <c r="S258" s="45"/>
    </row>
    <row r="259" spans="4:19">
      <c r="D259" s="96"/>
      <c r="E259" s="96"/>
      <c r="F259" s="96"/>
      <c r="G259" s="96"/>
      <c r="H259" s="96"/>
      <c r="I259" s="96"/>
      <c r="J259" s="96"/>
      <c r="K259" s="96"/>
      <c r="L259" s="96"/>
      <c r="M259" s="96"/>
      <c r="N259" s="96"/>
      <c r="O259" s="96"/>
      <c r="P259" s="96"/>
      <c r="Q259" s="96"/>
      <c r="R259" s="96"/>
      <c r="S259" s="45"/>
    </row>
    <row r="260" spans="4:19" ht="16.5" thickBot="1">
      <c r="J260" s="451"/>
      <c r="K260" s="451"/>
      <c r="M260" s="451"/>
      <c r="N260" s="451"/>
      <c r="O260" s="20"/>
      <c r="S260" s="45"/>
    </row>
    <row r="261" spans="4:19" ht="16.5" thickBot="1">
      <c r="L261" s="452"/>
      <c r="M261" s="453"/>
      <c r="N261" s="453"/>
      <c r="O261" s="453"/>
      <c r="P261" s="454"/>
      <c r="Q261" s="88"/>
      <c r="S261" s="45"/>
    </row>
    <row r="262" spans="4:19">
      <c r="S262" s="45"/>
    </row>
    <row r="263" spans="4:19">
      <c r="J263" s="57"/>
      <c r="K263" s="57"/>
      <c r="L263" s="57"/>
      <c r="M263" s="57"/>
      <c r="N263" s="57"/>
      <c r="O263" s="57"/>
      <c r="P263" s="57"/>
      <c r="Q263" s="57"/>
      <c r="R263" s="57"/>
      <c r="S263" s="45"/>
    </row>
    <row r="264" spans="4:19">
      <c r="J264" s="57"/>
      <c r="K264" s="57"/>
      <c r="L264" s="439"/>
      <c r="M264" s="434"/>
      <c r="N264" s="434"/>
      <c r="O264" s="434"/>
      <c r="P264" s="434"/>
      <c r="Q264" s="95"/>
      <c r="R264" s="57"/>
      <c r="S264" s="45"/>
    </row>
    <row r="265" spans="4:19">
      <c r="J265" s="57"/>
      <c r="K265" s="57"/>
      <c r="L265" s="57"/>
      <c r="M265" s="57"/>
      <c r="N265" s="57"/>
      <c r="O265" s="57"/>
      <c r="P265" s="91"/>
      <c r="Q265" s="128"/>
      <c r="R265" s="57"/>
      <c r="S265" s="45"/>
    </row>
    <row r="266" spans="4:19">
      <c r="J266" s="57"/>
      <c r="K266" s="57"/>
      <c r="L266" s="433"/>
      <c r="M266" s="433"/>
      <c r="N266" s="433"/>
      <c r="O266" s="433"/>
      <c r="P266" s="433"/>
      <c r="Q266" s="128"/>
      <c r="R266" s="57"/>
      <c r="S266" s="45"/>
    </row>
    <row r="267" spans="4:19">
      <c r="J267" s="57"/>
      <c r="K267" s="57"/>
      <c r="L267" s="433"/>
      <c r="M267" s="433"/>
      <c r="N267" s="433"/>
      <c r="O267" s="433"/>
      <c r="P267" s="433"/>
      <c r="Q267" s="128"/>
      <c r="R267" s="57"/>
      <c r="S267" s="45"/>
    </row>
    <row r="268" spans="4:19">
      <c r="J268" s="57"/>
      <c r="K268" s="57"/>
      <c r="L268" s="57"/>
      <c r="M268" s="57"/>
      <c r="N268" s="513"/>
      <c r="O268" s="525"/>
      <c r="P268" s="534"/>
      <c r="Q268" s="57"/>
      <c r="R268" s="57"/>
      <c r="S268" s="45"/>
    </row>
    <row r="269" spans="4:19">
      <c r="J269" s="57"/>
      <c r="K269" s="433"/>
      <c r="L269" s="433"/>
      <c r="M269" s="543"/>
      <c r="N269" s="544"/>
      <c r="O269" s="544"/>
      <c r="P269" s="545"/>
      <c r="Q269" s="129"/>
      <c r="R269" s="57"/>
      <c r="S269" s="45"/>
    </row>
    <row r="270" spans="4:19">
      <c r="J270" s="57"/>
      <c r="K270" s="57"/>
      <c r="L270" s="433"/>
      <c r="M270" s="433"/>
      <c r="N270" s="433"/>
      <c r="O270" s="433"/>
      <c r="P270" s="433"/>
      <c r="Q270" s="128"/>
      <c r="R270" s="57"/>
      <c r="S270" s="45"/>
    </row>
    <row r="271" spans="4:19">
      <c r="L271" s="548"/>
      <c r="M271" s="548"/>
      <c r="N271" s="548"/>
      <c r="O271" s="548"/>
      <c r="P271" s="548"/>
      <c r="Q271" s="130"/>
      <c r="R271" s="90"/>
      <c r="S271" s="45"/>
    </row>
    <row r="272" spans="4:19">
      <c r="L272" s="57"/>
      <c r="M272" s="513"/>
      <c r="N272" s="525"/>
      <c r="O272" s="525"/>
      <c r="P272" s="534"/>
      <c r="Q272" s="129"/>
      <c r="R272" s="57"/>
      <c r="S272" s="45"/>
    </row>
    <row r="273" spans="4:19">
      <c r="S273" s="45"/>
    </row>
    <row r="274" spans="4:19">
      <c r="K274" s="513"/>
      <c r="L274" s="525"/>
      <c r="M274" s="525"/>
      <c r="N274" s="525"/>
      <c r="O274" s="525"/>
      <c r="P274" s="534"/>
      <c r="Q274" s="57"/>
      <c r="R274" s="57"/>
      <c r="S274" s="45"/>
    </row>
    <row r="275" spans="4:19">
      <c r="S275" s="45"/>
    </row>
    <row r="276" spans="4:19">
      <c r="K276" s="513"/>
      <c r="L276" s="525"/>
      <c r="M276" s="525"/>
      <c r="N276" s="525"/>
      <c r="O276" s="525"/>
      <c r="P276" s="534"/>
      <c r="Q276" s="57"/>
      <c r="R276" s="57"/>
      <c r="S276" s="45"/>
    </row>
    <row r="277" spans="4:19">
      <c r="O277" s="433"/>
      <c r="P277" s="433"/>
      <c r="Q277" s="57"/>
      <c r="R277" s="57"/>
      <c r="S277" s="45"/>
    </row>
    <row r="278" spans="4:19">
      <c r="O278" s="433"/>
      <c r="P278" s="433"/>
      <c r="Q278" s="57"/>
      <c r="R278" s="57"/>
      <c r="S278" s="45"/>
    </row>
    <row r="279" spans="4:19">
      <c r="S279" s="45"/>
    </row>
    <row r="280" spans="4:19">
      <c r="L280" s="433"/>
      <c r="M280" s="433"/>
      <c r="N280" s="433"/>
      <c r="O280" s="433"/>
      <c r="P280" s="433"/>
      <c r="Q280" s="57"/>
      <c r="S280" s="45"/>
    </row>
    <row r="281" spans="4:19">
      <c r="S281" s="45"/>
    </row>
    <row r="282" spans="4:19" ht="16.5" thickBot="1">
      <c r="D282" s="96"/>
      <c r="E282" s="96"/>
      <c r="F282" s="96"/>
      <c r="G282" s="96"/>
      <c r="H282" s="96"/>
      <c r="I282" s="96"/>
      <c r="J282" s="96"/>
      <c r="K282" s="96"/>
      <c r="L282" s="96"/>
      <c r="M282" s="96"/>
      <c r="N282" s="96"/>
      <c r="O282" s="96"/>
      <c r="P282" s="96"/>
      <c r="Q282" s="96"/>
      <c r="R282" s="96"/>
      <c r="S282" s="45"/>
    </row>
    <row r="283" spans="4:19" ht="16.5" thickBot="1">
      <c r="L283" s="429"/>
      <c r="M283" s="437"/>
      <c r="N283" s="437"/>
      <c r="O283" s="437"/>
      <c r="P283" s="438"/>
      <c r="Q283" s="88"/>
      <c r="S283" s="45"/>
    </row>
    <row r="284" spans="4:19" ht="16.5" thickBot="1">
      <c r="S284" s="45"/>
    </row>
    <row r="285" spans="4:19" ht="16.5" thickBot="1">
      <c r="O285" s="134"/>
      <c r="S285" s="45"/>
    </row>
    <row r="286" spans="4:19">
      <c r="S286" s="45"/>
    </row>
    <row r="287" spans="4:19" ht="16.5" thickBot="1">
      <c r="D287" s="96"/>
      <c r="E287" s="96"/>
      <c r="F287" s="96"/>
      <c r="G287" s="96"/>
      <c r="H287" s="96"/>
      <c r="I287" s="96"/>
      <c r="J287" s="96"/>
      <c r="K287" s="96"/>
      <c r="L287" s="96"/>
      <c r="M287" s="96"/>
      <c r="N287" s="96"/>
      <c r="O287" s="96"/>
      <c r="P287" s="96"/>
      <c r="Q287" s="96"/>
      <c r="R287" s="96"/>
      <c r="S287" s="45"/>
    </row>
    <row r="288" spans="4:19" ht="16.5" thickBot="1">
      <c r="L288" s="429"/>
      <c r="M288" s="430"/>
      <c r="N288" s="430"/>
      <c r="O288" s="430"/>
      <c r="P288" s="431"/>
      <c r="Q288" s="135"/>
      <c r="S288" s="45"/>
    </row>
    <row r="289" spans="4:19">
      <c r="M289" s="434"/>
      <c r="N289" s="434"/>
      <c r="O289" s="434"/>
      <c r="P289" s="434"/>
      <c r="Q289" s="434"/>
      <c r="R289" s="95"/>
      <c r="S289" s="45"/>
    </row>
    <row r="290" spans="4:19">
      <c r="M290" s="432"/>
      <c r="N290" s="432"/>
      <c r="O290" s="432"/>
      <c r="P290" s="432"/>
      <c r="Q290" s="142"/>
      <c r="R290" s="143"/>
      <c r="S290" s="45"/>
    </row>
    <row r="291" spans="4:19">
      <c r="N291" s="120"/>
      <c r="S291" s="45"/>
    </row>
    <row r="292" spans="4:19">
      <c r="L292" s="433"/>
      <c r="M292" s="433"/>
      <c r="N292" s="433"/>
      <c r="O292" s="433"/>
      <c r="P292" s="91"/>
      <c r="Q292" s="57"/>
      <c r="S292" s="45"/>
    </row>
    <row r="293" spans="4:19">
      <c r="N293" s="141"/>
      <c r="S293" s="45"/>
    </row>
    <row r="294" spans="4:19">
      <c r="M294" s="433"/>
      <c r="N294" s="433"/>
      <c r="O294" s="433"/>
      <c r="P294" s="57"/>
      <c r="Q294" s="57"/>
      <c r="S294" s="45"/>
    </row>
    <row r="295" spans="4:19">
      <c r="M295" s="57"/>
      <c r="N295" s="57"/>
      <c r="O295" s="57"/>
      <c r="P295" s="57"/>
      <c r="Q295" s="57"/>
      <c r="S295" s="45"/>
    </row>
    <row r="296" spans="4:19">
      <c r="S296" s="45"/>
    </row>
    <row r="297" spans="4:19" ht="16.5" thickBot="1">
      <c r="D297" s="140"/>
      <c r="E297" s="140"/>
      <c r="F297" s="140"/>
      <c r="G297" s="140"/>
      <c r="H297" s="140"/>
      <c r="I297" s="140"/>
      <c r="J297" s="140"/>
      <c r="K297" s="140"/>
      <c r="L297" s="140"/>
      <c r="M297" s="140"/>
      <c r="N297" s="140"/>
      <c r="O297" s="140"/>
      <c r="P297" s="140"/>
      <c r="Q297" s="140"/>
      <c r="R297" s="140"/>
      <c r="S297" s="45"/>
    </row>
    <row r="298" spans="4:19" ht="16.5" thickBot="1">
      <c r="L298" s="429"/>
      <c r="M298" s="437"/>
      <c r="N298" s="437"/>
      <c r="O298" s="437"/>
      <c r="P298" s="438"/>
      <c r="Q298" s="131"/>
      <c r="S298" s="45"/>
    </row>
    <row r="299" spans="4:19">
      <c r="S299" s="45"/>
    </row>
    <row r="300" spans="4:19">
      <c r="M300" s="434"/>
      <c r="N300" s="434"/>
      <c r="O300" s="434"/>
      <c r="P300" s="434"/>
      <c r="Q300" s="95"/>
      <c r="R300" s="132"/>
      <c r="S300" s="45"/>
    </row>
    <row r="301" spans="4:19">
      <c r="S301" s="45"/>
    </row>
    <row r="302" spans="4:19">
      <c r="K302" s="433"/>
      <c r="L302" s="433"/>
      <c r="M302" s="433"/>
      <c r="N302" s="57"/>
      <c r="O302" s="57"/>
      <c r="P302" s="101"/>
      <c r="Q302" s="57"/>
      <c r="S302" s="45"/>
    </row>
    <row r="303" spans="4:19">
      <c r="N303" s="57"/>
      <c r="S303" s="45"/>
    </row>
    <row r="304" spans="4:19" ht="16.5" thickBot="1">
      <c r="D304" s="96"/>
      <c r="E304" s="96"/>
      <c r="F304" s="96"/>
      <c r="G304" s="96"/>
      <c r="H304" s="96"/>
      <c r="I304" s="96"/>
      <c r="J304" s="96"/>
      <c r="K304" s="96"/>
      <c r="L304" s="96"/>
      <c r="M304" s="96"/>
      <c r="N304" s="96"/>
      <c r="O304" s="96"/>
      <c r="P304" s="96"/>
      <c r="Q304" s="96"/>
      <c r="R304" s="96"/>
      <c r="S304" s="45"/>
    </row>
    <row r="305" spans="3:19" ht="16.5" thickBot="1">
      <c r="L305" s="429"/>
      <c r="M305" s="437"/>
      <c r="N305" s="437"/>
      <c r="O305" s="437"/>
      <c r="P305" s="438"/>
      <c r="Q305" s="107"/>
      <c r="S305" s="45"/>
    </row>
    <row r="306" spans="3:19">
      <c r="S306" s="45"/>
    </row>
    <row r="307" spans="3:19">
      <c r="M307" s="434"/>
      <c r="N307" s="434"/>
      <c r="O307" s="434"/>
      <c r="P307" s="434"/>
      <c r="Q307" s="95"/>
      <c r="R307" s="132"/>
      <c r="S307" s="45"/>
    </row>
    <row r="308" spans="3:19">
      <c r="S308" s="45"/>
    </row>
    <row r="309" spans="3:19">
      <c r="N309" s="433"/>
      <c r="O309" s="433"/>
      <c r="P309" s="433"/>
      <c r="Q309" s="57"/>
      <c r="R309" s="57"/>
      <c r="S309" s="45"/>
    </row>
    <row r="310" spans="3:19">
      <c r="S310" s="45"/>
    </row>
    <row r="311" spans="3:19" ht="16.5" thickBot="1">
      <c r="D311" s="96"/>
      <c r="E311" s="96"/>
      <c r="F311" s="96"/>
      <c r="G311" s="96"/>
      <c r="H311" s="96"/>
      <c r="I311" s="96"/>
      <c r="J311" s="96"/>
      <c r="K311" s="96"/>
      <c r="L311" s="96"/>
      <c r="M311" s="96"/>
      <c r="N311" s="96"/>
      <c r="O311" s="96"/>
      <c r="P311" s="96"/>
      <c r="Q311" s="96"/>
      <c r="R311" s="96"/>
      <c r="S311" s="45"/>
    </row>
    <row r="312" spans="3:19" ht="16.5" thickBot="1">
      <c r="N312" s="446"/>
      <c r="O312" s="447"/>
      <c r="P312" s="447"/>
      <c r="Q312" s="25"/>
      <c r="S312" s="45"/>
    </row>
    <row r="313" spans="3:19">
      <c r="S313" s="45"/>
    </row>
    <row r="314" spans="3:19">
      <c r="K314" s="433"/>
      <c r="L314" s="433"/>
      <c r="M314" s="434"/>
      <c r="N314" s="434"/>
      <c r="O314" s="434"/>
      <c r="P314" s="57"/>
      <c r="Q314" s="95"/>
      <c r="S314" s="45"/>
    </row>
    <row r="315" spans="3:19">
      <c r="K315" s="433"/>
      <c r="L315" s="433"/>
      <c r="M315" s="433"/>
      <c r="N315" s="433"/>
      <c r="O315" s="433"/>
      <c r="P315" s="57"/>
      <c r="Q315" s="57"/>
      <c r="S315" s="45"/>
    </row>
    <row r="316" spans="3:19">
      <c r="S316" s="45"/>
    </row>
    <row r="317" spans="3:19" ht="16.5" thickBot="1">
      <c r="C317" s="96"/>
      <c r="D317" s="96"/>
      <c r="E317" s="96"/>
      <c r="F317" s="96"/>
      <c r="G317" s="96"/>
      <c r="H317" s="96"/>
      <c r="I317" s="96"/>
      <c r="J317" s="96"/>
      <c r="K317" s="96"/>
      <c r="L317" s="96"/>
      <c r="M317" s="96"/>
      <c r="N317" s="96"/>
      <c r="O317" s="96"/>
      <c r="P317" s="96"/>
      <c r="Q317" s="96"/>
      <c r="R317" s="96"/>
      <c r="S317" s="45"/>
    </row>
    <row r="318" spans="3:19" ht="16.5" thickBot="1">
      <c r="F318" s="229"/>
      <c r="G318" s="229"/>
      <c r="H318" s="229"/>
      <c r="I318" s="229"/>
      <c r="K318" s="97"/>
      <c r="N318" s="446"/>
      <c r="O318" s="447"/>
      <c r="P318" s="521"/>
      <c r="Q318" s="108"/>
      <c r="S318" s="45"/>
    </row>
    <row r="319" spans="3:19">
      <c r="K319" s="97"/>
      <c r="S319" s="45"/>
    </row>
    <row r="320" spans="3:19">
      <c r="F320" s="214"/>
      <c r="G320" s="214"/>
      <c r="H320" s="214"/>
      <c r="I320" s="214"/>
      <c r="K320" s="97"/>
      <c r="O320" s="434"/>
      <c r="P320" s="434"/>
      <c r="Q320" s="212"/>
      <c r="S320" s="45"/>
    </row>
    <row r="321" spans="5:19">
      <c r="K321" s="97"/>
      <c r="S321" s="45"/>
    </row>
    <row r="322" spans="5:19">
      <c r="K322" s="97"/>
      <c r="N322" s="451"/>
      <c r="O322" s="451"/>
      <c r="P322" s="451"/>
      <c r="S322" s="45"/>
    </row>
    <row r="323" spans="5:19">
      <c r="K323" s="97"/>
      <c r="S323" s="45"/>
    </row>
    <row r="324" spans="5:19">
      <c r="E324" s="45"/>
      <c r="F324" s="45"/>
      <c r="G324" s="45"/>
      <c r="H324" s="45"/>
      <c r="I324" s="45"/>
      <c r="J324" s="45"/>
      <c r="K324" s="45"/>
      <c r="L324" s="45"/>
      <c r="M324" s="45"/>
      <c r="N324" s="45"/>
      <c r="O324" s="45"/>
      <c r="P324" s="45"/>
      <c r="Q324" s="45"/>
      <c r="R324" s="45"/>
      <c r="S324" s="45"/>
    </row>
    <row r="325" spans="5:19">
      <c r="S325" s="45"/>
    </row>
    <row r="326" spans="5:19">
      <c r="E326" s="45"/>
      <c r="F326" s="45"/>
      <c r="G326" s="45"/>
      <c r="H326" s="45"/>
      <c r="I326" s="45"/>
      <c r="J326" s="45"/>
      <c r="K326" s="45"/>
      <c r="L326" s="45"/>
      <c r="M326" s="45"/>
      <c r="N326" s="45"/>
      <c r="O326" s="45"/>
      <c r="P326" s="45"/>
      <c r="Q326" s="45"/>
      <c r="R326" s="45"/>
      <c r="S326" s="45"/>
    </row>
    <row r="327" spans="5:19">
      <c r="E327" s="132"/>
      <c r="F327" s="132"/>
      <c r="G327" s="132"/>
      <c r="H327" s="132"/>
      <c r="I327" s="132"/>
      <c r="J327" s="132"/>
      <c r="K327" s="132"/>
      <c r="L327" s="132"/>
      <c r="M327" s="132"/>
      <c r="N327" s="132"/>
      <c r="O327" s="132"/>
      <c r="P327" s="132"/>
      <c r="Q327" s="132"/>
      <c r="R327" s="132"/>
      <c r="S327" s="45"/>
    </row>
    <row r="328" spans="5:19">
      <c r="E328" s="132"/>
      <c r="F328" s="132"/>
      <c r="G328" s="132"/>
      <c r="H328" s="132"/>
      <c r="I328" s="132"/>
      <c r="J328" s="132"/>
      <c r="K328" s="132"/>
      <c r="L328" s="132"/>
      <c r="M328" s="132"/>
      <c r="N328" s="132"/>
      <c r="O328" s="132"/>
      <c r="P328" s="132"/>
      <c r="Q328" s="132"/>
      <c r="R328" s="132"/>
      <c r="S328" s="45"/>
    </row>
    <row r="329" spans="5:19">
      <c r="S329" s="45"/>
    </row>
    <row r="330" spans="5:19">
      <c r="S330" s="45"/>
    </row>
    <row r="331" spans="5:19">
      <c r="S331" s="45"/>
    </row>
    <row r="332" spans="5:19">
      <c r="S332" s="45"/>
    </row>
    <row r="333" spans="5:19">
      <c r="S333" s="45"/>
    </row>
    <row r="334" spans="5:19">
      <c r="S334" s="45"/>
    </row>
    <row r="335" spans="5:19">
      <c r="S335" s="45"/>
    </row>
    <row r="336" spans="5:19">
      <c r="S336" s="45"/>
    </row>
    <row r="337" spans="19:19">
      <c r="S337" s="45"/>
    </row>
    <row r="338" spans="19:19">
      <c r="S338" s="45"/>
    </row>
    <row r="339" spans="19:19">
      <c r="S339" s="45"/>
    </row>
    <row r="340" spans="19:19">
      <c r="S340" s="45"/>
    </row>
    <row r="341" spans="19:19">
      <c r="S341" s="45"/>
    </row>
    <row r="342" spans="19:19">
      <c r="S342" s="45"/>
    </row>
    <row r="343" spans="19:19">
      <c r="S343" s="45"/>
    </row>
    <row r="344" spans="19:19">
      <c r="S344" s="45"/>
    </row>
    <row r="345" spans="19:19">
      <c r="S345" s="45"/>
    </row>
    <row r="346" spans="19:19">
      <c r="S346" s="45"/>
    </row>
    <row r="347" spans="19:19">
      <c r="S347" s="45"/>
    </row>
    <row r="348" spans="19:19">
      <c r="S348" s="45"/>
    </row>
    <row r="349" spans="19:19">
      <c r="S349" s="45"/>
    </row>
    <row r="350" spans="19:19">
      <c r="S350" s="45"/>
    </row>
    <row r="351" spans="19:19">
      <c r="S351" s="45"/>
    </row>
    <row r="352" spans="19:19">
      <c r="S352" s="45"/>
    </row>
    <row r="353" spans="19:19">
      <c r="S353" s="45"/>
    </row>
    <row r="354" spans="19:19">
      <c r="S354" s="45"/>
    </row>
    <row r="355" spans="19:19">
      <c r="S355" s="45"/>
    </row>
    <row r="356" spans="19:19">
      <c r="S356" s="45"/>
    </row>
    <row r="357" spans="19:19">
      <c r="S357" s="45"/>
    </row>
    <row r="358" spans="19:19">
      <c r="S358" s="45"/>
    </row>
    <row r="359" spans="19:19">
      <c r="S359" s="45"/>
    </row>
    <row r="360" spans="19:19">
      <c r="S360" s="45"/>
    </row>
    <row r="361" spans="19:19">
      <c r="S361" s="45"/>
    </row>
    <row r="362" spans="19:19">
      <c r="S362" s="45"/>
    </row>
    <row r="363" spans="19:19">
      <c r="S363" s="45"/>
    </row>
    <row r="364" spans="19:19">
      <c r="S364" s="45"/>
    </row>
    <row r="365" spans="19:19">
      <c r="S365" s="45"/>
    </row>
    <row r="366" spans="19:19">
      <c r="S366" s="45"/>
    </row>
    <row r="367" spans="19:19">
      <c r="S367" s="45"/>
    </row>
    <row r="368" spans="19:19">
      <c r="S368" s="45"/>
    </row>
    <row r="369" spans="19:19">
      <c r="S369" s="45"/>
    </row>
    <row r="370" spans="19:19">
      <c r="S370" s="45"/>
    </row>
    <row r="371" spans="19:19">
      <c r="S371" s="45"/>
    </row>
    <row r="372" spans="19:19">
      <c r="S372" s="45"/>
    </row>
    <row r="373" spans="19:19">
      <c r="S373" s="45"/>
    </row>
    <row r="374" spans="19:19">
      <c r="S374" s="45"/>
    </row>
    <row r="375" spans="19:19">
      <c r="S375" s="45"/>
    </row>
    <row r="376" spans="19:19">
      <c r="S376" s="45"/>
    </row>
    <row r="377" spans="19:19">
      <c r="S377" s="45"/>
    </row>
    <row r="378" spans="19:19">
      <c r="S378" s="45"/>
    </row>
    <row r="379" spans="19:19">
      <c r="S379" s="45"/>
    </row>
    <row r="380" spans="19:19">
      <c r="S380" s="45"/>
    </row>
    <row r="381" spans="19:19">
      <c r="S381" s="45"/>
    </row>
    <row r="382" spans="19:19">
      <c r="S382" s="45"/>
    </row>
    <row r="383" spans="19:19">
      <c r="S383" s="45"/>
    </row>
    <row r="384" spans="19:19">
      <c r="S384" s="45"/>
    </row>
    <row r="385" spans="19:19">
      <c r="S385" s="45"/>
    </row>
    <row r="386" spans="19:19">
      <c r="S386" s="45"/>
    </row>
    <row r="387" spans="19:19">
      <c r="S387" s="45"/>
    </row>
    <row r="388" spans="19:19">
      <c r="S388" s="45"/>
    </row>
    <row r="389" spans="19:19">
      <c r="S389" s="45"/>
    </row>
    <row r="390" spans="19:19">
      <c r="S390" s="45"/>
    </row>
    <row r="391" spans="19:19">
      <c r="S391" s="45"/>
    </row>
    <row r="392" spans="19:19">
      <c r="S392" s="45"/>
    </row>
    <row r="393" spans="19:19">
      <c r="S393" s="45"/>
    </row>
    <row r="394" spans="19:19">
      <c r="S394" s="45"/>
    </row>
    <row r="395" spans="19:19">
      <c r="S395" s="45"/>
    </row>
    <row r="396" spans="19:19">
      <c r="S396" s="45"/>
    </row>
    <row r="397" spans="19:19">
      <c r="S397" s="45"/>
    </row>
    <row r="398" spans="19:19">
      <c r="S398" s="45"/>
    </row>
    <row r="399" spans="19:19">
      <c r="S399" s="45"/>
    </row>
    <row r="400" spans="19:19">
      <c r="S400" s="45"/>
    </row>
    <row r="401" spans="19:19">
      <c r="S401" s="45"/>
    </row>
    <row r="402" spans="19:19">
      <c r="S402" s="45"/>
    </row>
    <row r="403" spans="19:19">
      <c r="S403" s="45"/>
    </row>
    <row r="404" spans="19:19">
      <c r="S404" s="45"/>
    </row>
    <row r="405" spans="19:19">
      <c r="S405" s="45"/>
    </row>
    <row r="406" spans="19:19">
      <c r="S406" s="45"/>
    </row>
    <row r="407" spans="19:19">
      <c r="S407" s="45"/>
    </row>
    <row r="408" spans="19:19">
      <c r="S408" s="45"/>
    </row>
    <row r="409" spans="19:19">
      <c r="S409" s="45"/>
    </row>
    <row r="410" spans="19:19">
      <c r="S410" s="45"/>
    </row>
    <row r="411" spans="19:19">
      <c r="S411" s="45"/>
    </row>
    <row r="412" spans="19:19">
      <c r="S412" s="45"/>
    </row>
    <row r="413" spans="19:19">
      <c r="S413" s="45"/>
    </row>
    <row r="414" spans="19:19">
      <c r="S414" s="45"/>
    </row>
    <row r="415" spans="19:19">
      <c r="S415" s="45"/>
    </row>
    <row r="416" spans="19:19">
      <c r="S416" s="45"/>
    </row>
    <row r="417" spans="19:19">
      <c r="S417" s="45"/>
    </row>
    <row r="418" spans="19:19">
      <c r="S418" s="45"/>
    </row>
    <row r="419" spans="19:19">
      <c r="S419" s="45"/>
    </row>
    <row r="420" spans="19:19">
      <c r="S420" s="45"/>
    </row>
    <row r="421" spans="19:19">
      <c r="S421" s="45"/>
    </row>
    <row r="422" spans="19:19">
      <c r="S422" s="45"/>
    </row>
    <row r="423" spans="19:19">
      <c r="S423" s="45"/>
    </row>
    <row r="424" spans="19:19">
      <c r="S424" s="45"/>
    </row>
    <row r="425" spans="19:19">
      <c r="S425" s="45"/>
    </row>
    <row r="426" spans="19:19">
      <c r="S426" s="45"/>
    </row>
    <row r="427" spans="19:19">
      <c r="S427" s="45"/>
    </row>
    <row r="428" spans="19:19">
      <c r="S428" s="45"/>
    </row>
  </sheetData>
  <mergeCells count="201">
    <mergeCell ref="K315:L315"/>
    <mergeCell ref="M315:O315"/>
    <mergeCell ref="N318:P318"/>
    <mergeCell ref="O320:P320"/>
    <mergeCell ref="N322:P322"/>
    <mergeCell ref="I11:J11"/>
    <mergeCell ref="I7:J7"/>
    <mergeCell ref="L298:P298"/>
    <mergeCell ref="M300:P300"/>
    <mergeCell ref="K302:M302"/>
    <mergeCell ref="I26:L26"/>
    <mergeCell ref="L305:P305"/>
    <mergeCell ref="M307:P307"/>
    <mergeCell ref="N309:P309"/>
    <mergeCell ref="N312:P312"/>
    <mergeCell ref="K314:L314"/>
    <mergeCell ref="M314:O314"/>
    <mergeCell ref="L280:P280"/>
    <mergeCell ref="L283:P283"/>
    <mergeCell ref="M11:N11"/>
    <mergeCell ref="K269:L269"/>
    <mergeCell ref="M269:P269"/>
    <mergeCell ref="L270:P270"/>
    <mergeCell ref="L271:P271"/>
    <mergeCell ref="M272:P272"/>
    <mergeCell ref="K274:P274"/>
    <mergeCell ref="K276:P276"/>
    <mergeCell ref="O277:P277"/>
    <mergeCell ref="O278:P278"/>
    <mergeCell ref="J260:K260"/>
    <mergeCell ref="M260:N260"/>
    <mergeCell ref="J253:K253"/>
    <mergeCell ref="L216:P216"/>
    <mergeCell ref="N218:P218"/>
    <mergeCell ref="L219:P219"/>
    <mergeCell ref="L220:P220"/>
    <mergeCell ref="M223:P223"/>
    <mergeCell ref="J224:L224"/>
    <mergeCell ref="M224:P224"/>
    <mergeCell ref="M231:P231"/>
    <mergeCell ref="L261:P261"/>
    <mergeCell ref="L264:P264"/>
    <mergeCell ref="L266:P266"/>
    <mergeCell ref="L267:P267"/>
    <mergeCell ref="N268:P268"/>
    <mergeCell ref="N243:P243"/>
    <mergeCell ref="L245:Q245"/>
    <mergeCell ref="L248:P248"/>
    <mergeCell ref="L152:P152"/>
    <mergeCell ref="M143:N143"/>
    <mergeCell ref="H225:J225"/>
    <mergeCell ref="K225:O225"/>
    <mergeCell ref="H226:J226"/>
    <mergeCell ref="M227:O227"/>
    <mergeCell ref="L228:O228"/>
    <mergeCell ref="M229:P229"/>
    <mergeCell ref="M230:P230"/>
    <mergeCell ref="N215:P215"/>
    <mergeCell ref="M160:P160"/>
    <mergeCell ref="M163:P163"/>
    <mergeCell ref="N159:P159"/>
    <mergeCell ref="K165:P165"/>
    <mergeCell ref="L161:P161"/>
    <mergeCell ref="L162:P162"/>
    <mergeCell ref="L251:P251"/>
    <mergeCell ref="L253:N253"/>
    <mergeCell ref="M255:N255"/>
    <mergeCell ref="M256:N256"/>
    <mergeCell ref="I258:Q258"/>
    <mergeCell ref="K167:P167"/>
    <mergeCell ref="L174:P174"/>
    <mergeCell ref="L179:P179"/>
    <mergeCell ref="M181:P181"/>
    <mergeCell ref="L183:O183"/>
    <mergeCell ref="O168:P168"/>
    <mergeCell ref="O169:P169"/>
    <mergeCell ref="L171:P171"/>
    <mergeCell ref="M205:O205"/>
    <mergeCell ref="N208:P208"/>
    <mergeCell ref="O210:P210"/>
    <mergeCell ref="N212:P212"/>
    <mergeCell ref="M185:O185"/>
    <mergeCell ref="N239:P239"/>
    <mergeCell ref="N240:P240"/>
    <mergeCell ref="O234:P234"/>
    <mergeCell ref="Q98:R98"/>
    <mergeCell ref="N104:P104"/>
    <mergeCell ref="N106:P106"/>
    <mergeCell ref="H86:J86"/>
    <mergeCell ref="M89:P89"/>
    <mergeCell ref="M90:P90"/>
    <mergeCell ref="I12:J12"/>
    <mergeCell ref="I13:J13"/>
    <mergeCell ref="I14:J14"/>
    <mergeCell ref="I15:J15"/>
    <mergeCell ref="M83:P83"/>
    <mergeCell ref="M72:P72"/>
    <mergeCell ref="K78:L78"/>
    <mergeCell ref="K79:L79"/>
    <mergeCell ref="M74:Q74"/>
    <mergeCell ref="M84:P84"/>
    <mergeCell ref="K85:O85"/>
    <mergeCell ref="M91:P91"/>
    <mergeCell ref="F93:R93"/>
    <mergeCell ref="F94:R94"/>
    <mergeCell ref="J84:L84"/>
    <mergeCell ref="L88:O88"/>
    <mergeCell ref="F68:G68"/>
    <mergeCell ref="I25:L25"/>
    <mergeCell ref="D61:E61"/>
    <mergeCell ref="D63:E63"/>
    <mergeCell ref="J63:P63"/>
    <mergeCell ref="N55:P55"/>
    <mergeCell ref="K55:M55"/>
    <mergeCell ref="G56:P56"/>
    <mergeCell ref="F58:G58"/>
    <mergeCell ref="D56:E56"/>
    <mergeCell ref="D58:E58"/>
    <mergeCell ref="I58:Q58"/>
    <mergeCell ref="B44:C44"/>
    <mergeCell ref="C48:O48"/>
    <mergeCell ref="L45:M45"/>
    <mergeCell ref="J41:L41"/>
    <mergeCell ref="H41:I41"/>
    <mergeCell ref="J43:L43"/>
    <mergeCell ref="H43:I43"/>
    <mergeCell ref="C43:G43"/>
    <mergeCell ref="I5:J5"/>
    <mergeCell ref="I9:J9"/>
    <mergeCell ref="I10:J10"/>
    <mergeCell ref="D37:E37"/>
    <mergeCell ref="K34:O34"/>
    <mergeCell ref="A17:F17"/>
    <mergeCell ref="I6:J6"/>
    <mergeCell ref="I23:L23"/>
    <mergeCell ref="M5:N5"/>
    <mergeCell ref="M6:N6"/>
    <mergeCell ref="M9:N9"/>
    <mergeCell ref="M10:N10"/>
    <mergeCell ref="E38:F38"/>
    <mergeCell ref="F41:G41"/>
    <mergeCell ref="T14:V14"/>
    <mergeCell ref="I4:J4"/>
    <mergeCell ref="I22:L22"/>
    <mergeCell ref="M76:O76"/>
    <mergeCell ref="M78:P78"/>
    <mergeCell ref="M79:P79"/>
    <mergeCell ref="H64:P64"/>
    <mergeCell ref="H65:P65"/>
    <mergeCell ref="J66:N66"/>
    <mergeCell ref="J59:P59"/>
    <mergeCell ref="M4:N4"/>
    <mergeCell ref="I24:L24"/>
    <mergeCell ref="I1:J1"/>
    <mergeCell ref="I2:J2"/>
    <mergeCell ref="I3:J3"/>
    <mergeCell ref="I16:L16"/>
    <mergeCell ref="M87:O87"/>
    <mergeCell ref="H85:J85"/>
    <mergeCell ref="K36:O36"/>
    <mergeCell ref="I39:P39"/>
    <mergeCell ref="M2:N2"/>
    <mergeCell ref="M3:N3"/>
    <mergeCell ref="M7:N7"/>
    <mergeCell ref="M12:N12"/>
    <mergeCell ref="M13:N13"/>
    <mergeCell ref="M14:N14"/>
    <mergeCell ref="K38:P38"/>
    <mergeCell ref="L116:Q116"/>
    <mergeCell ref="M144:N144"/>
    <mergeCell ref="I146:Q146"/>
    <mergeCell ref="M148:N148"/>
    <mergeCell ref="J148:K148"/>
    <mergeCell ref="L137:P137"/>
    <mergeCell ref="L139:P139"/>
    <mergeCell ref="L141:N141"/>
    <mergeCell ref="J141:K141"/>
    <mergeCell ref="L288:P288"/>
    <mergeCell ref="M290:P290"/>
    <mergeCell ref="L292:O292"/>
    <mergeCell ref="M294:O294"/>
    <mergeCell ref="M289:Q289"/>
    <mergeCell ref="M1:N1"/>
    <mergeCell ref="L188:P188"/>
    <mergeCell ref="M190:P190"/>
    <mergeCell ref="K192:M192"/>
    <mergeCell ref="L195:P195"/>
    <mergeCell ref="M197:P197"/>
    <mergeCell ref="N199:P199"/>
    <mergeCell ref="O96:P96"/>
    <mergeCell ref="L155:P155"/>
    <mergeCell ref="L157:P157"/>
    <mergeCell ref="L158:P158"/>
    <mergeCell ref="K160:L160"/>
    <mergeCell ref="N107:P107"/>
    <mergeCell ref="N111:P111"/>
    <mergeCell ref="N237:P237"/>
    <mergeCell ref="N202:P202"/>
    <mergeCell ref="M204:O204"/>
    <mergeCell ref="K204:L204"/>
    <mergeCell ref="K205:L20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AD120"/>
  <sheetViews>
    <sheetView topLeftCell="L9" workbookViewId="0">
      <selection activeCell="AD32" sqref="AD32"/>
    </sheetView>
  </sheetViews>
  <sheetFormatPr defaultRowHeight="15.75"/>
  <cols>
    <col min="27" max="27" width="9.875" bestFit="1" customWidth="1"/>
  </cols>
  <sheetData>
    <row r="1" spans="17:29">
      <c r="Q1" s="326" t="s">
        <v>172</v>
      </c>
      <c r="R1" s="321" t="s">
        <v>166</v>
      </c>
      <c r="S1" s="317" t="s">
        <v>164</v>
      </c>
      <c r="T1" s="318" t="s">
        <v>162</v>
      </c>
      <c r="U1" s="318" t="s">
        <v>160</v>
      </c>
      <c r="V1" s="318" t="s">
        <v>0</v>
      </c>
      <c r="W1" s="318" t="s">
        <v>6</v>
      </c>
      <c r="X1" s="318" t="s">
        <v>2</v>
      </c>
      <c r="Y1" s="318" t="s">
        <v>1</v>
      </c>
      <c r="Z1" s="318" t="s">
        <v>158</v>
      </c>
      <c r="AA1" s="318" t="s">
        <v>159</v>
      </c>
      <c r="AB1" s="318" t="s">
        <v>161</v>
      </c>
      <c r="AC1" s="321"/>
    </row>
    <row r="2" spans="17:29">
      <c r="Q2" s="326">
        <f>Sheet3!M80</f>
        <v>22</v>
      </c>
      <c r="R2" s="326">
        <f>Sheet3!M29</f>
        <v>1.639</v>
      </c>
      <c r="S2" s="326">
        <f>Sheet3!F80</f>
        <v>1.1000000000000001</v>
      </c>
      <c r="T2" s="326">
        <f>Sheet3!K54</f>
        <v>0.56000000000000005</v>
      </c>
      <c r="U2" s="326">
        <f>Sheet3!H23</f>
        <v>0.36</v>
      </c>
      <c r="V2" s="326">
        <f>Sheet3!E23</f>
        <v>441</v>
      </c>
      <c r="W2" s="326">
        <f>Sheet3!C32</f>
        <v>600</v>
      </c>
      <c r="X2" s="326">
        <f>Sheet3!F32</f>
        <v>30</v>
      </c>
      <c r="Y2" s="326">
        <f>Sheet3!M23</f>
        <v>215</v>
      </c>
      <c r="Z2" s="326">
        <f>Sheet3!G23</f>
        <v>1.92</v>
      </c>
      <c r="AA2" s="326">
        <f>Sheet3!G54</f>
        <v>1.5E-6</v>
      </c>
      <c r="AB2" s="326">
        <f>Sheet3!K23</f>
        <v>2</v>
      </c>
      <c r="AC2" s="323"/>
    </row>
    <row r="8" spans="17:29">
      <c r="W8" s="451" t="s">
        <v>187</v>
      </c>
      <c r="X8" s="451"/>
      <c r="Y8" s="451"/>
      <c r="Z8" s="451"/>
      <c r="AB8">
        <f>IF(AB25&gt;AB10,AB25+AB16-AB14,AB10+AB16-AB14)</f>
        <v>10.312630227074528</v>
      </c>
    </row>
    <row r="10" spans="17:29">
      <c r="W10" s="451" t="s">
        <v>151</v>
      </c>
      <c r="X10" s="451"/>
      <c r="Y10" s="451"/>
      <c r="Z10" s="451"/>
      <c r="AB10">
        <f>S2*POWER(AB12,0.333)</f>
        <v>7.6230969724513393</v>
      </c>
    </row>
    <row r="12" spans="17:29">
      <c r="W12" s="451" t="s">
        <v>165</v>
      </c>
      <c r="X12" s="451"/>
      <c r="Y12" s="451"/>
      <c r="Z12" s="451"/>
      <c r="AB12">
        <f>R2*0.95*Y2</f>
        <v>334.76575000000003</v>
      </c>
    </row>
    <row r="14" spans="17:29">
      <c r="W14" s="455" t="s">
        <v>152</v>
      </c>
      <c r="X14" s="451"/>
      <c r="Y14" s="451"/>
      <c r="Z14" s="451"/>
      <c r="AB14">
        <f>0.5*Z2*COS(X3*3.14/180)</f>
        <v>0.96</v>
      </c>
    </row>
    <row r="16" spans="17:29" ht="18.75">
      <c r="W16" s="561" t="s">
        <v>163</v>
      </c>
      <c r="X16" s="562"/>
      <c r="Y16" s="562"/>
      <c r="Z16" s="563"/>
      <c r="AB16">
        <f>AB17*AB18*AA2*V2*W2*(COS(X2*3.14/180))/U2^2</f>
        <v>3.6495332546231887</v>
      </c>
    </row>
    <row r="17" spans="1:30" ht="18.75">
      <c r="N17" s="347"/>
      <c r="X17" s="510" t="s">
        <v>3</v>
      </c>
      <c r="Y17" s="510"/>
      <c r="Z17" s="510"/>
      <c r="AA17" s="510"/>
      <c r="AB17">
        <f>0.5+0.4*((AB2)^0.666)</f>
        <v>1.1346670745529144</v>
      </c>
    </row>
    <row r="18" spans="1:30">
      <c r="X18" s="510" t="s">
        <v>157</v>
      </c>
      <c r="Y18" s="510"/>
      <c r="Z18" s="510"/>
      <c r="AA18" s="510"/>
      <c r="AB18">
        <f>2.8*((U2)^0.333)-1.3*((U2)^0.5)</f>
        <v>1.2125386948667469</v>
      </c>
    </row>
    <row r="20" spans="1:30" ht="16.5" thickBot="1">
      <c r="X20" s="451" t="s">
        <v>153</v>
      </c>
      <c r="Y20" s="451"/>
      <c r="Z20" s="451"/>
      <c r="AB20">
        <f>AB21/(AB12)^0.333</f>
        <v>0.38809509977073725</v>
      </c>
    </row>
    <row r="21" spans="1:30">
      <c r="L21" s="340"/>
      <c r="M21" s="341"/>
      <c r="N21" s="341"/>
      <c r="O21" s="341"/>
      <c r="P21" s="341"/>
      <c r="Q21" s="341"/>
      <c r="R21" s="341"/>
      <c r="S21" s="341"/>
      <c r="T21" s="342"/>
      <c r="X21" s="451" t="s">
        <v>154</v>
      </c>
      <c r="Y21" s="451"/>
      <c r="AB21">
        <f>AB16-AB14</f>
        <v>2.6895332546231887</v>
      </c>
    </row>
    <row r="22" spans="1:30" ht="16.5" thickBot="1">
      <c r="L22" s="343"/>
      <c r="M22" s="344"/>
      <c r="N22" s="344"/>
      <c r="O22" s="344"/>
      <c r="P22" s="346" t="s">
        <v>150</v>
      </c>
      <c r="Q22" s="344"/>
      <c r="R22" s="344"/>
      <c r="S22" s="344"/>
      <c r="T22" s="345"/>
    </row>
    <row r="23" spans="1:30">
      <c r="W23" s="451" t="s">
        <v>155</v>
      </c>
      <c r="X23" s="451"/>
      <c r="Y23" t="s">
        <v>156</v>
      </c>
    </row>
    <row r="24" spans="1:30" ht="18.75">
      <c r="A24" s="328"/>
      <c r="B24" s="328"/>
      <c r="C24" s="328"/>
      <c r="D24" s="328"/>
      <c r="E24" s="339"/>
      <c r="F24" s="328"/>
      <c r="G24" s="328"/>
      <c r="H24" s="328"/>
      <c r="I24" s="328"/>
      <c r="J24" s="328"/>
      <c r="K24" s="328"/>
      <c r="L24" s="328"/>
      <c r="M24" s="328"/>
      <c r="N24" s="328"/>
      <c r="O24" s="328"/>
      <c r="P24" s="328"/>
      <c r="Q24" s="339"/>
      <c r="R24" s="328"/>
      <c r="S24" s="328"/>
      <c r="T24" s="143"/>
      <c r="U24" s="143"/>
      <c r="V24" s="143"/>
    </row>
    <row r="25" spans="1:30">
      <c r="A25" s="328"/>
      <c r="B25" s="328"/>
      <c r="C25" s="328"/>
      <c r="D25" s="328"/>
      <c r="E25" s="328"/>
      <c r="F25" s="328"/>
      <c r="G25" s="328"/>
      <c r="H25" s="328"/>
      <c r="I25" s="328"/>
      <c r="J25" s="328"/>
      <c r="K25" s="328"/>
      <c r="L25" s="328"/>
      <c r="M25" s="328"/>
      <c r="N25" s="328"/>
      <c r="O25" s="328"/>
      <c r="P25" s="328"/>
      <c r="Q25" s="328"/>
      <c r="R25" s="328"/>
      <c r="S25" s="328"/>
      <c r="T25" s="143"/>
      <c r="U25" s="143"/>
      <c r="V25" s="143"/>
      <c r="W25" t="s">
        <v>192</v>
      </c>
      <c r="X25" s="451" t="s">
        <v>188</v>
      </c>
      <c r="Y25" s="451"/>
      <c r="Z25" s="451"/>
      <c r="AA25" s="451"/>
      <c r="AB25">
        <f>1.5*T2*((AB12)^0.333)</f>
        <v>5.8212740516901142</v>
      </c>
    </row>
    <row r="26" spans="1:30">
      <c r="A26" s="328"/>
      <c r="B26" s="328"/>
      <c r="C26" s="328"/>
      <c r="D26" s="328"/>
      <c r="E26" s="328"/>
      <c r="F26" s="328"/>
      <c r="G26" s="328"/>
      <c r="H26" s="328"/>
      <c r="I26" s="328"/>
      <c r="J26" s="328"/>
      <c r="K26" s="328"/>
      <c r="L26" s="328"/>
      <c r="M26" s="328"/>
      <c r="N26" s="328"/>
      <c r="O26" s="328"/>
      <c r="P26" s="328"/>
      <c r="Q26" s="328"/>
      <c r="R26" s="328"/>
      <c r="S26" s="91"/>
      <c r="T26" s="363"/>
      <c r="U26" s="143"/>
      <c r="V26" s="143"/>
      <c r="W26" t="s">
        <v>193</v>
      </c>
      <c r="X26" s="451" t="s">
        <v>194</v>
      </c>
      <c r="Y26" s="451"/>
      <c r="Z26" s="451"/>
      <c r="AA26" s="451"/>
    </row>
    <row r="27" spans="1:30">
      <c r="A27" s="328"/>
      <c r="B27" s="328"/>
      <c r="C27" s="328"/>
      <c r="D27" s="328"/>
      <c r="E27" s="328"/>
      <c r="F27" s="328"/>
      <c r="G27" s="328"/>
      <c r="H27" s="328"/>
      <c r="I27" s="328"/>
      <c r="J27" s="328"/>
      <c r="K27" s="328"/>
      <c r="L27" s="328"/>
      <c r="M27" s="328"/>
      <c r="N27" s="328"/>
      <c r="O27" s="328"/>
      <c r="P27" s="328"/>
      <c r="Q27" s="328"/>
      <c r="R27" s="328"/>
      <c r="S27" s="328"/>
      <c r="X27" s="564" t="s">
        <v>189</v>
      </c>
      <c r="Y27" s="564"/>
      <c r="Z27" s="421"/>
      <c r="AA27" s="421"/>
      <c r="AB27" s="421">
        <f>AB8/TAN(Q2*3.14/180)</f>
        <v>25.538967468900399</v>
      </c>
    </row>
    <row r="29" spans="1:30">
      <c r="AB29" s="401"/>
    </row>
    <row r="30" spans="1:30">
      <c r="X30" t="s">
        <v>195</v>
      </c>
      <c r="Y30" t="s">
        <v>196</v>
      </c>
      <c r="AB30">
        <f>Sheet3!Q79-Sheet2!AB16</f>
        <v>5.0466745376811506E-2</v>
      </c>
      <c r="AC30" t="s">
        <v>207</v>
      </c>
    </row>
    <row r="31" spans="1:30">
      <c r="Q31" t="s">
        <v>200</v>
      </c>
      <c r="X31" t="s">
        <v>197</v>
      </c>
      <c r="Y31" t="s">
        <v>198</v>
      </c>
      <c r="AC31">
        <f>(AB25-AB30)*(Sheet3!K55/Sheet3!K54)</f>
        <v>3.2976041750361729</v>
      </c>
      <c r="AD31" t="s">
        <v>207</v>
      </c>
    </row>
    <row r="32" spans="1:30">
      <c r="Q32" t="s">
        <v>201</v>
      </c>
      <c r="X32" t="s">
        <v>199</v>
      </c>
      <c r="Y32" t="s">
        <v>203</v>
      </c>
      <c r="AC32">
        <f>(AB34-AB30)*(S35/S34)</f>
        <v>4.7523751283343598</v>
      </c>
      <c r="AD32" t="s">
        <v>207</v>
      </c>
    </row>
    <row r="34" spans="18:29">
      <c r="R34" t="s">
        <v>208</v>
      </c>
      <c r="S34">
        <f>Sheet3!M54</f>
        <v>0.79</v>
      </c>
      <c r="W34" t="s">
        <v>202</v>
      </c>
      <c r="X34" s="565" t="s">
        <v>204</v>
      </c>
      <c r="Y34" s="565"/>
      <c r="Z34" s="565"/>
      <c r="AA34" s="565"/>
      <c r="AB34">
        <f>(AB12^0.333)*1.5*S34</f>
        <v>8.2121544657771253</v>
      </c>
      <c r="AC34" t="s">
        <v>207</v>
      </c>
    </row>
    <row r="35" spans="18:29">
      <c r="R35" t="s">
        <v>209</v>
      </c>
      <c r="S35">
        <f>Sheet3!M55</f>
        <v>0.46</v>
      </c>
    </row>
    <row r="54" spans="1:18">
      <c r="A54" s="328"/>
      <c r="B54" s="328"/>
      <c r="C54" s="328"/>
      <c r="D54" s="328"/>
      <c r="E54" s="328"/>
      <c r="F54" s="328"/>
      <c r="G54" s="328"/>
      <c r="H54" s="328"/>
      <c r="I54" s="328"/>
      <c r="J54" s="328"/>
      <c r="K54" s="328"/>
      <c r="L54" s="328"/>
      <c r="M54" s="328"/>
      <c r="N54" s="328"/>
      <c r="O54" s="328"/>
      <c r="P54" s="328"/>
      <c r="Q54" s="328"/>
      <c r="R54" s="328"/>
    </row>
    <row r="55" spans="1:18" ht="18.75">
      <c r="A55" s="328"/>
      <c r="B55" s="328"/>
      <c r="C55" s="328"/>
      <c r="D55" s="328"/>
      <c r="E55" s="328"/>
      <c r="F55" s="328"/>
      <c r="G55" s="328"/>
      <c r="H55" s="328"/>
      <c r="I55" s="328"/>
      <c r="J55" s="328"/>
      <c r="K55" s="333"/>
      <c r="L55" s="328"/>
      <c r="M55" s="328"/>
      <c r="N55" s="328"/>
      <c r="O55" s="328"/>
      <c r="P55" s="328"/>
      <c r="Q55" s="328"/>
      <c r="R55" s="328"/>
    </row>
    <row r="56" spans="1:18">
      <c r="A56" s="328"/>
      <c r="B56" s="328"/>
      <c r="C56" s="328"/>
      <c r="D56" s="328"/>
      <c r="E56" s="328"/>
      <c r="F56" s="328"/>
      <c r="G56" s="328"/>
      <c r="H56" s="328"/>
      <c r="I56" s="328"/>
      <c r="J56" s="328"/>
      <c r="K56" s="328"/>
      <c r="L56" s="328"/>
      <c r="M56" s="328"/>
      <c r="N56" s="328"/>
      <c r="O56" s="328"/>
      <c r="P56" s="328"/>
      <c r="Q56" s="328"/>
      <c r="R56" s="328"/>
    </row>
    <row r="57" spans="1:18">
      <c r="A57" s="328"/>
      <c r="B57" s="328"/>
      <c r="C57" s="328"/>
      <c r="D57" s="328"/>
      <c r="E57" s="328"/>
      <c r="F57" s="328"/>
      <c r="G57" s="328"/>
      <c r="H57" s="328"/>
      <c r="I57" s="328"/>
      <c r="J57" s="328"/>
      <c r="K57" s="328"/>
      <c r="L57" s="328"/>
      <c r="M57" s="328"/>
      <c r="N57" s="337"/>
      <c r="O57" s="337"/>
      <c r="P57" s="328"/>
      <c r="Q57" s="328"/>
      <c r="R57" s="328"/>
    </row>
    <row r="58" spans="1:18">
      <c r="A58" s="328"/>
      <c r="B58" s="334"/>
      <c r="C58" s="337"/>
      <c r="D58" s="337"/>
      <c r="E58" s="337"/>
      <c r="F58" s="337"/>
      <c r="G58" s="328"/>
      <c r="H58" s="328"/>
      <c r="I58" s="328"/>
      <c r="J58" s="332"/>
      <c r="K58" s="332"/>
      <c r="L58" s="332"/>
      <c r="M58" s="332"/>
      <c r="N58" s="332"/>
      <c r="O58" s="332"/>
      <c r="P58" s="332"/>
      <c r="Q58" s="332"/>
      <c r="R58" s="332"/>
    </row>
    <row r="59" spans="1:18">
      <c r="A59" s="328"/>
      <c r="B59" s="310"/>
      <c r="C59" s="337"/>
      <c r="D59" s="337"/>
      <c r="E59" s="337"/>
      <c r="F59" s="337"/>
      <c r="G59" s="328"/>
      <c r="H59" s="328"/>
      <c r="I59" s="328"/>
      <c r="J59" s="328"/>
      <c r="K59" s="328"/>
      <c r="L59" s="332"/>
      <c r="M59" s="332"/>
      <c r="N59" s="332"/>
      <c r="O59" s="332"/>
      <c r="P59" s="332"/>
      <c r="Q59" s="328"/>
      <c r="R59" s="328"/>
    </row>
    <row r="60" spans="1:18">
      <c r="A60" s="328"/>
      <c r="B60" s="310"/>
      <c r="C60" s="337"/>
      <c r="D60" s="337"/>
      <c r="E60" s="337"/>
      <c r="F60" s="337"/>
      <c r="G60" s="328"/>
      <c r="H60" s="328"/>
      <c r="I60" s="328"/>
      <c r="J60" s="328"/>
      <c r="K60" s="328"/>
      <c r="L60" s="331"/>
      <c r="M60" s="331"/>
      <c r="N60" s="331"/>
      <c r="O60" s="331"/>
      <c r="P60" s="328"/>
      <c r="Q60" s="328"/>
      <c r="R60" s="328"/>
    </row>
    <row r="61" spans="1:18">
      <c r="A61" s="328"/>
      <c r="B61" s="335"/>
      <c r="C61" s="328"/>
      <c r="D61" s="328"/>
      <c r="E61" s="328"/>
      <c r="F61" s="328"/>
      <c r="G61" s="328"/>
      <c r="H61" s="328"/>
      <c r="I61" s="328"/>
      <c r="J61" s="328"/>
      <c r="K61" s="328"/>
      <c r="L61" s="334"/>
      <c r="M61" s="331"/>
      <c r="N61" s="331"/>
      <c r="O61" s="331"/>
      <c r="P61" s="328"/>
      <c r="Q61" s="328"/>
      <c r="R61" s="328"/>
    </row>
    <row r="62" spans="1:18">
      <c r="A62" s="328"/>
      <c r="B62" s="328"/>
      <c r="C62" s="328"/>
      <c r="D62" s="328"/>
      <c r="E62" s="328"/>
      <c r="F62" s="328"/>
      <c r="G62" s="328"/>
      <c r="H62" s="328"/>
      <c r="I62" s="328"/>
      <c r="J62" s="328"/>
      <c r="K62" s="328"/>
      <c r="L62" s="328"/>
      <c r="M62" s="328"/>
      <c r="N62" s="328"/>
      <c r="O62" s="331"/>
      <c r="P62" s="328"/>
      <c r="Q62" s="328"/>
      <c r="R62" s="328"/>
    </row>
    <row r="63" spans="1:18">
      <c r="A63" s="328"/>
      <c r="B63" s="328"/>
      <c r="C63" s="328"/>
      <c r="D63" s="328"/>
      <c r="E63" s="328"/>
      <c r="F63" s="328"/>
      <c r="G63" s="328"/>
      <c r="H63" s="328"/>
      <c r="I63" s="328"/>
      <c r="J63" s="336"/>
      <c r="K63" s="328"/>
      <c r="L63" s="328"/>
      <c r="M63" s="335"/>
      <c r="N63" s="328"/>
      <c r="O63" s="328"/>
      <c r="P63" s="328"/>
      <c r="Q63" s="328"/>
      <c r="R63" s="328"/>
    </row>
    <row r="64" spans="1:18">
      <c r="A64" s="328"/>
      <c r="B64" s="328"/>
      <c r="C64" s="337"/>
      <c r="D64" s="337"/>
      <c r="E64" s="328"/>
      <c r="F64" s="328"/>
      <c r="G64" s="328"/>
      <c r="H64" s="328"/>
      <c r="I64" s="328"/>
      <c r="J64" s="328"/>
      <c r="K64" s="328"/>
      <c r="L64" s="328"/>
      <c r="M64" s="328"/>
      <c r="N64" s="328"/>
      <c r="O64" s="328"/>
      <c r="P64" s="328"/>
      <c r="Q64" s="328"/>
      <c r="R64" s="328"/>
    </row>
    <row r="65" spans="1:18">
      <c r="A65" s="338"/>
      <c r="B65" s="338"/>
      <c r="C65" s="319"/>
      <c r="D65" s="319"/>
      <c r="E65" s="319"/>
      <c r="F65" s="319"/>
      <c r="G65" s="319"/>
      <c r="H65" s="328"/>
      <c r="I65" s="328"/>
      <c r="J65" s="328"/>
      <c r="K65" s="328"/>
      <c r="L65" s="328"/>
      <c r="M65" s="328"/>
      <c r="N65" s="328"/>
      <c r="O65" s="328"/>
      <c r="P65" s="328"/>
      <c r="Q65" s="328"/>
      <c r="R65" s="328"/>
    </row>
    <row r="66" spans="1:18">
      <c r="A66" s="337"/>
      <c r="B66" s="337"/>
      <c r="C66" s="310"/>
      <c r="D66" s="310"/>
      <c r="E66" s="310"/>
      <c r="F66" s="310"/>
      <c r="G66" s="310"/>
      <c r="H66" s="328"/>
      <c r="I66" s="328"/>
      <c r="J66" s="328"/>
      <c r="K66" s="328"/>
      <c r="L66" s="328"/>
      <c r="M66" s="328"/>
      <c r="N66" s="328"/>
      <c r="O66" s="328"/>
      <c r="P66" s="328"/>
      <c r="Q66" s="328"/>
      <c r="R66" s="328"/>
    </row>
    <row r="67" spans="1:18">
      <c r="A67" s="336"/>
      <c r="B67" s="328"/>
      <c r="C67" s="328"/>
      <c r="D67" s="328"/>
      <c r="E67" s="328"/>
      <c r="F67" s="328"/>
      <c r="G67" s="328"/>
      <c r="H67" s="328"/>
      <c r="I67" s="328"/>
      <c r="J67" s="328"/>
      <c r="K67" s="328"/>
      <c r="L67" s="328"/>
      <c r="M67" s="328"/>
      <c r="N67" s="328"/>
      <c r="O67" s="328"/>
      <c r="P67" s="328"/>
      <c r="Q67" s="328"/>
      <c r="R67" s="328"/>
    </row>
    <row r="68" spans="1:18">
      <c r="A68" s="328"/>
      <c r="B68" s="328"/>
      <c r="C68" s="328"/>
      <c r="D68" s="328"/>
      <c r="E68" s="328"/>
      <c r="F68" s="328"/>
      <c r="G68" s="328"/>
      <c r="H68" s="328"/>
      <c r="I68" s="328"/>
      <c r="J68" s="328"/>
      <c r="K68" s="328"/>
      <c r="L68" s="328"/>
      <c r="M68" s="328"/>
      <c r="N68" s="328"/>
      <c r="O68" s="328"/>
      <c r="P68" s="328"/>
      <c r="Q68" s="328"/>
      <c r="R68" s="328"/>
    </row>
    <row r="69" spans="1:18">
      <c r="A69" s="328"/>
      <c r="B69" s="328"/>
      <c r="C69" s="328"/>
      <c r="D69" s="328"/>
      <c r="E69" s="328"/>
      <c r="F69" s="328"/>
      <c r="G69" s="328"/>
      <c r="H69" s="328"/>
      <c r="I69" s="328"/>
      <c r="J69" s="328"/>
      <c r="K69" s="328"/>
      <c r="L69" s="328"/>
      <c r="M69" s="328"/>
      <c r="N69" s="328"/>
      <c r="O69" s="328"/>
      <c r="P69" s="328"/>
      <c r="Q69" s="328"/>
      <c r="R69" s="328"/>
    </row>
    <row r="70" spans="1:18">
      <c r="A70" s="328"/>
      <c r="B70" s="328"/>
      <c r="C70" s="328"/>
      <c r="D70" s="328"/>
      <c r="E70" s="328"/>
      <c r="F70" s="328"/>
      <c r="G70" s="328"/>
      <c r="H70" s="328"/>
      <c r="I70" s="328"/>
      <c r="J70" s="328"/>
      <c r="K70" s="328"/>
      <c r="L70" s="328"/>
      <c r="M70" s="328"/>
      <c r="N70" s="328"/>
      <c r="O70" s="328"/>
      <c r="P70" s="328"/>
      <c r="Q70" s="328"/>
      <c r="R70" s="328"/>
    </row>
    <row r="71" spans="1:18">
      <c r="A71" s="328"/>
      <c r="B71" s="328"/>
      <c r="C71" s="328"/>
      <c r="D71" s="328"/>
      <c r="E71" s="328"/>
      <c r="F71" s="328"/>
      <c r="G71" s="328"/>
      <c r="H71" s="328"/>
      <c r="I71" s="328"/>
      <c r="J71" s="328"/>
      <c r="K71" s="328"/>
      <c r="L71" s="328"/>
      <c r="M71" s="328"/>
      <c r="N71" s="328"/>
      <c r="O71" s="328"/>
      <c r="P71" s="328"/>
      <c r="Q71" s="328"/>
      <c r="R71" s="328"/>
    </row>
    <row r="94" spans="5:5">
      <c r="E94" s="297"/>
    </row>
    <row r="99" spans="2:18">
      <c r="B99" s="328"/>
      <c r="C99" s="328"/>
      <c r="D99" s="328"/>
      <c r="E99" s="328"/>
      <c r="F99" s="328"/>
      <c r="G99" s="328"/>
      <c r="H99" s="328"/>
      <c r="I99" s="328"/>
      <c r="J99" s="328"/>
      <c r="K99" s="328"/>
      <c r="L99" s="328"/>
      <c r="M99" s="328"/>
      <c r="N99" s="328"/>
      <c r="O99" s="328"/>
      <c r="P99" s="328"/>
      <c r="Q99" s="328"/>
      <c r="R99" s="328"/>
    </row>
    <row r="100" spans="2:18">
      <c r="B100" s="328"/>
      <c r="C100" s="328"/>
      <c r="D100" s="328"/>
      <c r="E100" s="328"/>
      <c r="F100" s="328"/>
      <c r="G100" s="328"/>
      <c r="H100" s="560"/>
      <c r="I100" s="560"/>
      <c r="J100" s="560"/>
      <c r="K100" s="560"/>
      <c r="L100" s="560"/>
      <c r="M100" s="328"/>
      <c r="N100" s="328"/>
      <c r="O100" s="328"/>
      <c r="P100" s="328"/>
      <c r="Q100" s="328"/>
      <c r="R100" s="328"/>
    </row>
    <row r="101" spans="2:18">
      <c r="B101" s="328"/>
      <c r="C101" s="328"/>
      <c r="D101" s="328"/>
      <c r="E101" s="328"/>
      <c r="F101" s="328"/>
      <c r="G101" s="328"/>
      <c r="H101" s="328"/>
      <c r="I101" s="328"/>
      <c r="J101" s="328"/>
      <c r="K101" s="328"/>
      <c r="L101" s="328"/>
      <c r="M101" s="328"/>
      <c r="N101" s="328"/>
      <c r="O101" s="328"/>
      <c r="P101" s="328"/>
      <c r="Q101" s="328"/>
      <c r="R101" s="328"/>
    </row>
    <row r="102" spans="2:18">
      <c r="B102" s="328"/>
      <c r="C102" s="330"/>
      <c r="D102" s="330"/>
      <c r="E102" s="330"/>
      <c r="F102" s="330"/>
      <c r="G102" s="330"/>
      <c r="H102" s="330"/>
      <c r="I102" s="560"/>
      <c r="J102" s="560"/>
      <c r="K102" s="560"/>
      <c r="L102" s="560"/>
      <c r="M102" s="560"/>
      <c r="N102" s="560"/>
      <c r="O102" s="560"/>
      <c r="P102" s="560"/>
      <c r="Q102" s="560"/>
      <c r="R102" s="328"/>
    </row>
    <row r="103" spans="2:18">
      <c r="B103" s="328"/>
      <c r="C103" s="330"/>
      <c r="D103" s="330"/>
      <c r="E103" s="330"/>
      <c r="F103" s="330"/>
      <c r="G103" s="330"/>
      <c r="H103" s="330"/>
      <c r="I103" s="330"/>
      <c r="J103" s="330"/>
      <c r="K103" s="330"/>
      <c r="L103" s="330"/>
      <c r="M103" s="330"/>
      <c r="N103" s="330"/>
      <c r="O103" s="330"/>
      <c r="P103" s="330"/>
      <c r="Q103" s="330"/>
      <c r="R103" s="328"/>
    </row>
    <row r="104" spans="2:18">
      <c r="B104" s="328"/>
      <c r="C104" s="330"/>
      <c r="D104" s="330"/>
      <c r="E104" s="330"/>
      <c r="F104" s="330"/>
      <c r="G104" s="330"/>
      <c r="H104" s="330"/>
      <c r="I104" s="330"/>
      <c r="J104" s="330"/>
      <c r="K104" s="330"/>
      <c r="L104" s="330"/>
      <c r="M104" s="330"/>
      <c r="N104" s="330"/>
      <c r="O104" s="330"/>
      <c r="P104" s="330"/>
      <c r="Q104" s="330"/>
      <c r="R104" s="328"/>
    </row>
    <row r="105" spans="2:18">
      <c r="B105" s="331"/>
      <c r="C105" s="310"/>
      <c r="D105" s="310"/>
      <c r="E105" s="310"/>
      <c r="F105" s="310"/>
      <c r="G105" s="310"/>
      <c r="H105" s="310"/>
      <c r="I105" s="310"/>
      <c r="J105" s="310"/>
      <c r="K105" s="310"/>
      <c r="L105" s="310"/>
      <c r="M105" s="310"/>
      <c r="N105" s="310"/>
      <c r="O105" s="310"/>
      <c r="P105" s="310"/>
      <c r="Q105" s="310"/>
      <c r="R105" s="328"/>
    </row>
    <row r="106" spans="2:18">
      <c r="B106" s="328"/>
      <c r="C106" s="328"/>
      <c r="D106" s="328"/>
      <c r="E106" s="328"/>
      <c r="F106" s="328"/>
      <c r="G106" s="328"/>
      <c r="H106" s="328"/>
      <c r="I106" s="328"/>
      <c r="J106" s="328"/>
      <c r="K106" s="328"/>
      <c r="L106" s="328"/>
      <c r="M106" s="328"/>
      <c r="N106" s="328"/>
      <c r="O106" s="328"/>
      <c r="P106" s="328"/>
      <c r="Q106" s="328"/>
      <c r="R106" s="328"/>
    </row>
    <row r="107" spans="2:18">
      <c r="B107" s="328"/>
      <c r="C107" s="328"/>
      <c r="D107" s="328"/>
      <c r="E107" s="328"/>
      <c r="F107" s="328"/>
      <c r="G107" s="328"/>
      <c r="H107" s="328"/>
      <c r="I107" s="328"/>
      <c r="J107" s="328"/>
      <c r="K107" s="328"/>
      <c r="L107" s="328"/>
      <c r="M107" s="328"/>
      <c r="N107" s="328"/>
      <c r="O107" s="328"/>
      <c r="P107" s="328"/>
      <c r="Q107" s="328"/>
      <c r="R107" s="328"/>
    </row>
    <row r="108" spans="2:18">
      <c r="B108" s="328"/>
      <c r="C108" s="328"/>
      <c r="D108" s="328"/>
      <c r="E108" s="328"/>
      <c r="F108" s="328"/>
      <c r="G108" s="328"/>
      <c r="H108" s="328"/>
      <c r="I108" s="328"/>
      <c r="J108" s="328"/>
      <c r="K108" s="328"/>
      <c r="L108" s="328"/>
      <c r="M108" s="328"/>
      <c r="N108" s="328"/>
      <c r="O108" s="328"/>
      <c r="P108" s="328"/>
      <c r="Q108" s="328"/>
      <c r="R108" s="328"/>
    </row>
    <row r="109" spans="2:18">
      <c r="B109" s="328"/>
      <c r="C109" s="328"/>
      <c r="D109" s="328"/>
      <c r="E109" s="328"/>
      <c r="F109" s="328"/>
      <c r="G109" s="328"/>
      <c r="H109" s="328"/>
      <c r="I109" s="328"/>
      <c r="J109" s="328"/>
      <c r="K109" s="332"/>
      <c r="L109" s="328"/>
      <c r="M109" s="332"/>
      <c r="N109" s="328"/>
      <c r="O109" s="332"/>
      <c r="P109" s="328"/>
      <c r="Q109" s="332"/>
      <c r="R109" s="328"/>
    </row>
    <row r="110" spans="2:18">
      <c r="B110" s="328"/>
      <c r="C110" s="310"/>
      <c r="D110" s="328"/>
      <c r="E110" s="328"/>
      <c r="F110" s="328"/>
      <c r="G110" s="328"/>
      <c r="H110" s="328"/>
      <c r="I110" s="328"/>
      <c r="J110" s="328"/>
      <c r="K110" s="332"/>
      <c r="L110" s="328"/>
      <c r="M110" s="332"/>
      <c r="N110" s="328"/>
      <c r="O110" s="332"/>
      <c r="P110" s="328"/>
      <c r="Q110" s="332"/>
      <c r="R110" s="328"/>
    </row>
    <row r="111" spans="2:18">
      <c r="B111" s="328"/>
      <c r="C111" s="328"/>
      <c r="D111" s="328"/>
      <c r="E111" s="310"/>
      <c r="F111" s="328"/>
      <c r="G111" s="328"/>
      <c r="H111" s="328"/>
      <c r="I111" s="328"/>
      <c r="J111" s="328"/>
      <c r="K111" s="328"/>
      <c r="L111" s="328"/>
      <c r="M111" s="332"/>
      <c r="N111" s="328"/>
      <c r="O111" s="332"/>
      <c r="P111" s="328"/>
      <c r="Q111" s="332"/>
      <c r="R111" s="328"/>
    </row>
    <row r="112" spans="2:18">
      <c r="B112" s="328"/>
      <c r="C112" s="328"/>
      <c r="D112" s="328"/>
      <c r="E112" s="328"/>
      <c r="F112" s="328"/>
      <c r="G112" s="310"/>
      <c r="H112" s="328"/>
      <c r="I112" s="328"/>
      <c r="J112" s="328"/>
      <c r="K112" s="328"/>
      <c r="L112" s="328"/>
      <c r="M112" s="332"/>
      <c r="N112" s="328"/>
      <c r="O112" s="332"/>
      <c r="P112" s="328"/>
      <c r="Q112" s="332"/>
      <c r="R112" s="328"/>
    </row>
    <row r="113" spans="2:18">
      <c r="B113" s="328"/>
      <c r="C113" s="328"/>
      <c r="D113" s="328"/>
      <c r="E113" s="328"/>
      <c r="F113" s="328"/>
      <c r="G113" s="328"/>
      <c r="H113" s="328"/>
      <c r="I113" s="310"/>
      <c r="J113" s="328"/>
      <c r="K113" s="328"/>
      <c r="L113" s="328"/>
      <c r="M113" s="328"/>
      <c r="N113" s="328"/>
      <c r="O113" s="332"/>
      <c r="P113" s="328"/>
      <c r="Q113" s="332"/>
      <c r="R113" s="328"/>
    </row>
    <row r="114" spans="2:18">
      <c r="B114" s="328"/>
      <c r="C114" s="328"/>
      <c r="D114" s="328"/>
      <c r="E114" s="328"/>
      <c r="F114" s="328"/>
      <c r="G114" s="328"/>
      <c r="H114" s="328"/>
      <c r="I114" s="328"/>
      <c r="J114" s="328"/>
      <c r="K114" s="310"/>
      <c r="L114" s="328"/>
      <c r="M114" s="328"/>
      <c r="N114" s="328"/>
      <c r="O114" s="332"/>
      <c r="P114" s="328"/>
      <c r="Q114" s="332"/>
      <c r="R114" s="328"/>
    </row>
    <row r="115" spans="2:18">
      <c r="B115" s="328"/>
      <c r="C115" s="328"/>
      <c r="D115" s="328"/>
      <c r="E115" s="328"/>
      <c r="F115" s="328"/>
      <c r="G115" s="328"/>
      <c r="H115" s="328"/>
      <c r="I115" s="328"/>
      <c r="J115" s="328"/>
      <c r="K115" s="328"/>
      <c r="L115" s="328"/>
      <c r="M115" s="328"/>
      <c r="N115" s="328"/>
      <c r="O115" s="332"/>
      <c r="P115" s="328"/>
      <c r="Q115" s="332"/>
      <c r="R115" s="328"/>
    </row>
    <row r="116" spans="2:18">
      <c r="B116" s="328"/>
      <c r="C116" s="328"/>
      <c r="D116" s="328"/>
      <c r="E116" s="328"/>
      <c r="F116" s="328"/>
      <c r="G116" s="328"/>
      <c r="H116" s="328"/>
      <c r="I116" s="328"/>
      <c r="J116" s="328"/>
      <c r="K116" s="328"/>
      <c r="L116" s="328"/>
      <c r="M116" s="310"/>
      <c r="N116" s="328"/>
      <c r="O116" s="328"/>
      <c r="P116" s="328"/>
      <c r="Q116" s="328"/>
      <c r="R116" s="328"/>
    </row>
    <row r="117" spans="2:18">
      <c r="B117" s="328"/>
      <c r="C117" s="328"/>
      <c r="D117" s="328"/>
      <c r="E117" s="328"/>
      <c r="F117" s="328"/>
      <c r="G117" s="328"/>
      <c r="H117" s="328"/>
      <c r="I117" s="328"/>
      <c r="J117" s="328"/>
      <c r="K117" s="328"/>
      <c r="L117" s="328"/>
      <c r="M117" s="328"/>
      <c r="N117" s="328"/>
      <c r="O117" s="328"/>
      <c r="P117" s="328"/>
      <c r="Q117" s="328"/>
      <c r="R117" s="328"/>
    </row>
    <row r="118" spans="2:18">
      <c r="B118" s="328"/>
      <c r="C118" s="328"/>
      <c r="D118" s="328"/>
      <c r="E118" s="328"/>
      <c r="F118" s="328"/>
      <c r="G118" s="328"/>
      <c r="H118" s="328"/>
      <c r="I118" s="328"/>
      <c r="J118" s="328"/>
      <c r="K118" s="328"/>
      <c r="L118" s="328"/>
      <c r="M118" s="328"/>
      <c r="N118" s="328"/>
      <c r="O118" s="328"/>
      <c r="P118" s="328"/>
      <c r="Q118" s="328"/>
      <c r="R118" s="328"/>
    </row>
    <row r="119" spans="2:18">
      <c r="B119" s="328"/>
      <c r="C119" s="328"/>
      <c r="D119" s="328"/>
      <c r="E119" s="328"/>
      <c r="F119" s="328"/>
      <c r="G119" s="328"/>
      <c r="H119" s="328"/>
      <c r="I119" s="328"/>
      <c r="J119" s="328"/>
      <c r="K119" s="328"/>
      <c r="L119" s="328"/>
      <c r="M119" s="328"/>
      <c r="N119" s="328"/>
      <c r="O119" s="310"/>
      <c r="P119" s="328"/>
      <c r="Q119" s="310"/>
      <c r="R119" s="328"/>
    </row>
    <row r="120" spans="2:18">
      <c r="B120" s="328"/>
      <c r="C120" s="328"/>
      <c r="D120" s="328"/>
      <c r="E120" s="328"/>
      <c r="F120" s="328"/>
      <c r="G120" s="328"/>
      <c r="H120" s="328"/>
      <c r="I120" s="328"/>
      <c r="J120" s="328"/>
      <c r="K120" s="328"/>
      <c r="L120" s="328"/>
      <c r="M120" s="328"/>
      <c r="N120" s="328"/>
      <c r="O120" s="328"/>
      <c r="P120" s="328"/>
      <c r="Q120" s="328"/>
      <c r="R120" s="328"/>
    </row>
  </sheetData>
  <mergeCells count="16">
    <mergeCell ref="W8:Z8"/>
    <mergeCell ref="W10:Z10"/>
    <mergeCell ref="W12:Z12"/>
    <mergeCell ref="W14:Z14"/>
    <mergeCell ref="X20:Z20"/>
    <mergeCell ref="X17:AA17"/>
    <mergeCell ref="X18:AA18"/>
    <mergeCell ref="I102:Q102"/>
    <mergeCell ref="H100:L100"/>
    <mergeCell ref="W16:Z16"/>
    <mergeCell ref="X21:Y21"/>
    <mergeCell ref="W23:X23"/>
    <mergeCell ref="X25:AA25"/>
    <mergeCell ref="X27:Y27"/>
    <mergeCell ref="X26:AA26"/>
    <mergeCell ref="X34:AA34"/>
  </mergeCells>
  <pageMargins left="0.7" right="0.7" top="0.75" bottom="0.75" header="0.3" footer="0.3"/>
  <pageSetup paperSize="9" orientation="portrait" horizontalDpi="4294967294" verticalDpi="0" r:id="rId1"/>
  <drawing r:id="rId2"/>
</worksheet>
</file>

<file path=xl/worksheets/sheet3.xml><?xml version="1.0" encoding="utf-8"?>
<worksheet xmlns="http://schemas.openxmlformats.org/spreadsheetml/2006/main" xmlns:r="http://schemas.openxmlformats.org/officeDocument/2006/relationships">
  <dimension ref="A1:S263"/>
  <sheetViews>
    <sheetView tabSelected="1" topLeftCell="A77" workbookViewId="0">
      <selection activeCell="E94" sqref="E94"/>
    </sheetView>
  </sheetViews>
  <sheetFormatPr defaultRowHeight="15.75"/>
  <cols>
    <col min="7" max="7" width="9.875" bestFit="1" customWidth="1"/>
  </cols>
  <sheetData>
    <row r="1" spans="1:19">
      <c r="A1" s="633" t="s">
        <v>101</v>
      </c>
      <c r="B1" s="634"/>
      <c r="C1" s="634"/>
      <c r="D1" s="634"/>
      <c r="E1" s="634"/>
      <c r="F1" s="634"/>
      <c r="G1" s="634"/>
      <c r="H1" s="634"/>
      <c r="I1" s="634"/>
      <c r="J1" s="634"/>
      <c r="K1" s="634"/>
      <c r="L1" s="634"/>
      <c r="M1" s="634"/>
      <c r="N1" s="634"/>
      <c r="O1" s="634"/>
      <c r="P1" s="634"/>
      <c r="S1" s="178"/>
    </row>
    <row r="2" spans="1:19" ht="16.5" thickBot="1">
      <c r="A2" s="154"/>
      <c r="B2" s="155"/>
      <c r="C2" s="155"/>
      <c r="D2" s="155"/>
      <c r="E2" s="155"/>
      <c r="F2" s="155"/>
      <c r="G2" s="155"/>
      <c r="H2" s="155"/>
      <c r="I2" s="155"/>
      <c r="J2" s="155"/>
      <c r="K2" s="155"/>
      <c r="L2" s="155"/>
      <c r="M2" s="155"/>
      <c r="N2" s="155" t="s">
        <v>135</v>
      </c>
      <c r="O2" s="156"/>
      <c r="S2" s="179"/>
    </row>
    <row r="3" spans="1:19" ht="16.5" thickBot="1">
      <c r="A3" s="178"/>
      <c r="B3" s="81"/>
      <c r="C3" s="81"/>
      <c r="D3" s="81"/>
      <c r="E3" s="81"/>
      <c r="F3" s="81"/>
      <c r="G3" s="81"/>
      <c r="H3" s="81"/>
      <c r="I3" s="81"/>
      <c r="J3" s="81"/>
      <c r="K3" s="81"/>
      <c r="L3" s="81"/>
      <c r="M3" s="81"/>
      <c r="N3" s="81"/>
      <c r="O3" s="81"/>
      <c r="S3" s="179"/>
    </row>
    <row r="4" spans="1:19" ht="16.5" thickBot="1">
      <c r="A4" s="179"/>
      <c r="G4" s="348"/>
      <c r="I4" s="15"/>
      <c r="J4" s="15"/>
      <c r="K4" s="15"/>
      <c r="L4" s="15"/>
      <c r="M4" s="15"/>
      <c r="N4" s="15"/>
      <c r="O4" s="15"/>
      <c r="P4" s="15"/>
      <c r="Q4" s="157" t="s">
        <v>29</v>
      </c>
      <c r="R4" s="175" t="s">
        <v>17</v>
      </c>
      <c r="S4" s="179"/>
    </row>
    <row r="5" spans="1:19" ht="16.5" thickBot="1">
      <c r="A5" s="179"/>
      <c r="S5" s="179"/>
    </row>
    <row r="6" spans="1:19" ht="19.5" thickBot="1">
      <c r="A6" s="179"/>
      <c r="H6" s="638" t="s">
        <v>62</v>
      </c>
      <c r="I6" s="639"/>
      <c r="J6" s="212"/>
      <c r="K6" s="212"/>
      <c r="L6" s="212"/>
      <c r="M6" s="212"/>
      <c r="N6" s="212"/>
      <c r="O6" s="212"/>
      <c r="P6" s="204"/>
      <c r="Q6" s="207" t="s">
        <v>149</v>
      </c>
      <c r="R6" s="145" t="s">
        <v>30</v>
      </c>
      <c r="S6" s="179"/>
    </row>
    <row r="7" spans="1:19">
      <c r="A7" s="179"/>
      <c r="B7" s="180"/>
      <c r="C7" s="163" t="s">
        <v>31</v>
      </c>
      <c r="D7" s="164" t="s">
        <v>32</v>
      </c>
      <c r="E7" s="163" t="s">
        <v>33</v>
      </c>
      <c r="F7" s="164" t="s">
        <v>34</v>
      </c>
      <c r="G7" s="163" t="s">
        <v>35</v>
      </c>
      <c r="H7" s="174" t="s">
        <v>36</v>
      </c>
      <c r="I7" s="641" t="s">
        <v>37</v>
      </c>
      <c r="J7" s="642"/>
      <c r="K7" s="643" t="s">
        <v>38</v>
      </c>
      <c r="L7" s="643"/>
      <c r="M7" s="644" t="s">
        <v>39</v>
      </c>
      <c r="N7" s="644"/>
      <c r="O7" s="645" t="s">
        <v>20</v>
      </c>
      <c r="P7" s="646"/>
      <c r="S7" s="179"/>
    </row>
    <row r="8" spans="1:19">
      <c r="A8" s="179"/>
      <c r="B8" s="160" t="s">
        <v>40</v>
      </c>
      <c r="C8" s="159" t="s">
        <v>41</v>
      </c>
      <c r="D8" s="162" t="s">
        <v>41</v>
      </c>
      <c r="E8" s="159" t="s">
        <v>0</v>
      </c>
      <c r="F8" s="162" t="s">
        <v>46</v>
      </c>
      <c r="G8" s="159" t="s">
        <v>45</v>
      </c>
      <c r="H8" s="162" t="s">
        <v>44</v>
      </c>
      <c r="I8" s="159" t="s">
        <v>43</v>
      </c>
      <c r="J8" s="161"/>
      <c r="K8" s="162" t="s">
        <v>42</v>
      </c>
      <c r="L8" s="161"/>
      <c r="M8" s="159" t="s">
        <v>1</v>
      </c>
      <c r="N8" s="161"/>
      <c r="O8" s="162" t="s">
        <v>41</v>
      </c>
      <c r="P8" s="165"/>
      <c r="S8" s="179"/>
    </row>
    <row r="9" spans="1:19">
      <c r="A9" s="179"/>
      <c r="B9" s="181">
        <v>1</v>
      </c>
      <c r="C9" s="158" t="s">
        <v>47</v>
      </c>
      <c r="D9" s="162">
        <v>100</v>
      </c>
      <c r="E9" s="159">
        <v>61</v>
      </c>
      <c r="F9" s="162">
        <v>1.38</v>
      </c>
      <c r="G9" s="159">
        <v>0.76</v>
      </c>
      <c r="H9" s="162">
        <v>0.21</v>
      </c>
      <c r="I9" s="159">
        <v>3.6</v>
      </c>
      <c r="J9" s="161"/>
      <c r="K9" s="162">
        <v>1</v>
      </c>
      <c r="L9" s="161"/>
      <c r="M9" s="159">
        <v>23</v>
      </c>
      <c r="N9" s="161"/>
      <c r="O9" s="162" t="s">
        <v>60</v>
      </c>
      <c r="P9" s="165"/>
      <c r="S9" s="179"/>
    </row>
    <row r="10" spans="1:19">
      <c r="A10" s="179"/>
      <c r="B10" s="181">
        <f>1+B9</f>
        <v>2</v>
      </c>
      <c r="C10" s="158" t="s">
        <v>48</v>
      </c>
      <c r="D10" s="162">
        <v>250</v>
      </c>
      <c r="E10" s="159">
        <v>131</v>
      </c>
      <c r="F10" s="162">
        <v>1.58</v>
      </c>
      <c r="G10" s="159">
        <v>0.95</v>
      </c>
      <c r="H10" s="162">
        <v>0.28000000000000003</v>
      </c>
      <c r="I10" s="159">
        <v>3.4</v>
      </c>
      <c r="J10" s="161"/>
      <c r="K10" s="162">
        <v>1</v>
      </c>
      <c r="L10" s="161"/>
      <c r="M10" s="159">
        <v>62</v>
      </c>
      <c r="N10" s="161"/>
      <c r="O10" s="162" t="s">
        <v>60</v>
      </c>
      <c r="P10" s="165"/>
      <c r="S10" s="179"/>
    </row>
    <row r="11" spans="1:19" ht="16.5" thickBot="1">
      <c r="A11" s="179"/>
      <c r="B11" s="230">
        <f t="shared" ref="B11:B22" si="0">1+B10</f>
        <v>3</v>
      </c>
      <c r="C11" s="231" t="s">
        <v>52</v>
      </c>
      <c r="D11" s="172">
        <v>500</v>
      </c>
      <c r="E11" s="171">
        <v>264</v>
      </c>
      <c r="F11" s="172">
        <v>1.83</v>
      </c>
      <c r="G11" s="171">
        <v>1.21</v>
      </c>
      <c r="H11" s="172">
        <v>0.36</v>
      </c>
      <c r="I11" s="171">
        <v>3.3</v>
      </c>
      <c r="J11" s="232"/>
      <c r="K11" s="172">
        <v>1</v>
      </c>
      <c r="L11" s="232"/>
      <c r="M11" s="171">
        <v>128</v>
      </c>
      <c r="N11" s="232"/>
      <c r="O11" s="172" t="s">
        <v>60</v>
      </c>
      <c r="P11" s="233"/>
      <c r="S11" s="179"/>
    </row>
    <row r="12" spans="1:19" ht="16.5" thickBot="1">
      <c r="A12" s="179"/>
      <c r="B12" s="240">
        <f t="shared" si="0"/>
        <v>4</v>
      </c>
      <c r="C12" s="241" t="s">
        <v>49</v>
      </c>
      <c r="D12" s="242">
        <v>750</v>
      </c>
      <c r="E12" s="243">
        <v>373</v>
      </c>
      <c r="F12" s="242">
        <v>2.27</v>
      </c>
      <c r="G12" s="243">
        <v>1.42</v>
      </c>
      <c r="H12" s="242">
        <v>0.41</v>
      </c>
      <c r="I12" s="244">
        <v>3.5</v>
      </c>
      <c r="J12" s="245"/>
      <c r="K12" s="242">
        <v>1</v>
      </c>
      <c r="L12" s="245"/>
      <c r="M12" s="243">
        <v>177</v>
      </c>
      <c r="N12" s="245"/>
      <c r="O12" s="242" t="s">
        <v>60</v>
      </c>
      <c r="P12" s="246"/>
      <c r="S12" s="179"/>
    </row>
    <row r="13" spans="1:19">
      <c r="A13" s="179"/>
      <c r="B13" s="234">
        <f t="shared" si="0"/>
        <v>5</v>
      </c>
      <c r="C13" s="235" t="s">
        <v>50</v>
      </c>
      <c r="D13" s="236">
        <v>1000</v>
      </c>
      <c r="E13" s="237">
        <v>547</v>
      </c>
      <c r="F13" s="236">
        <v>2.46</v>
      </c>
      <c r="G13" s="237">
        <v>1.37</v>
      </c>
      <c r="H13" s="236">
        <v>0.48</v>
      </c>
      <c r="I13" s="237">
        <v>2.8</v>
      </c>
      <c r="J13" s="238"/>
      <c r="K13" s="236">
        <v>1</v>
      </c>
      <c r="L13" s="238"/>
      <c r="M13" s="237">
        <v>270</v>
      </c>
      <c r="N13" s="238"/>
      <c r="O13" s="236" t="s">
        <v>60</v>
      </c>
      <c r="P13" s="239"/>
      <c r="S13" s="179"/>
    </row>
    <row r="14" spans="1:19">
      <c r="A14" s="179"/>
      <c r="B14" s="181">
        <f t="shared" si="0"/>
        <v>6</v>
      </c>
      <c r="C14" s="158" t="s">
        <v>51</v>
      </c>
      <c r="D14" s="162">
        <v>2000</v>
      </c>
      <c r="E14" s="159">
        <v>1033</v>
      </c>
      <c r="F14" s="162">
        <v>2.97</v>
      </c>
      <c r="G14" s="159">
        <v>1.82</v>
      </c>
      <c r="H14" s="162">
        <v>0.59</v>
      </c>
      <c r="I14" s="159">
        <v>3.1</v>
      </c>
      <c r="J14" s="161"/>
      <c r="K14" s="162">
        <v>1</v>
      </c>
      <c r="L14" s="161"/>
      <c r="M14" s="159">
        <v>526</v>
      </c>
      <c r="N14" s="161"/>
      <c r="O14" s="162" t="s">
        <v>60</v>
      </c>
      <c r="P14" s="165"/>
      <c r="S14" s="179"/>
    </row>
    <row r="15" spans="1:19">
      <c r="A15" s="179"/>
      <c r="B15" s="181">
        <f t="shared" si="0"/>
        <v>7</v>
      </c>
      <c r="C15" s="158" t="s">
        <v>41</v>
      </c>
      <c r="D15" s="162">
        <v>3000</v>
      </c>
      <c r="E15" s="159">
        <v>1383</v>
      </c>
      <c r="F15" s="162">
        <v>4.7</v>
      </c>
      <c r="G15" s="159">
        <v>3.07</v>
      </c>
      <c r="H15" s="162">
        <v>0.61</v>
      </c>
      <c r="I15" s="159">
        <v>5</v>
      </c>
      <c r="J15" s="161"/>
      <c r="K15" s="162">
        <v>1</v>
      </c>
      <c r="L15" s="161"/>
      <c r="M15" s="159">
        <v>816</v>
      </c>
      <c r="N15" s="161"/>
      <c r="O15" s="162" t="s">
        <v>60</v>
      </c>
      <c r="P15" s="165"/>
      <c r="S15" s="179"/>
    </row>
    <row r="16" spans="1:19">
      <c r="A16" s="179"/>
      <c r="B16" s="181">
        <f t="shared" si="0"/>
        <v>8</v>
      </c>
      <c r="C16" s="158" t="s">
        <v>53</v>
      </c>
      <c r="D16" s="162">
        <v>250</v>
      </c>
      <c r="E16" s="159">
        <v>118</v>
      </c>
      <c r="F16" s="162">
        <v>1.88</v>
      </c>
      <c r="G16" s="159">
        <v>1.18</v>
      </c>
      <c r="H16" s="162">
        <v>0.23</v>
      </c>
      <c r="I16" s="159">
        <v>5.2</v>
      </c>
      <c r="J16" s="161"/>
      <c r="K16" s="162">
        <v>2.5</v>
      </c>
      <c r="L16" s="161"/>
      <c r="M16" s="159">
        <v>45</v>
      </c>
      <c r="N16" s="161"/>
      <c r="O16" s="162" t="s">
        <v>60</v>
      </c>
      <c r="P16" s="165"/>
      <c r="S16" s="179"/>
    </row>
    <row r="17" spans="1:19">
      <c r="A17" s="179"/>
      <c r="B17" s="181">
        <f t="shared" si="0"/>
        <v>9</v>
      </c>
      <c r="C17" s="158" t="s">
        <v>54</v>
      </c>
      <c r="D17" s="162">
        <v>500</v>
      </c>
      <c r="E17" s="159">
        <v>241</v>
      </c>
      <c r="F17" s="162">
        <v>2.21</v>
      </c>
      <c r="G17" s="159">
        <v>1.55</v>
      </c>
      <c r="H17" s="162">
        <v>0.27</v>
      </c>
      <c r="I17" s="159">
        <v>5.7</v>
      </c>
      <c r="J17" s="161"/>
      <c r="K17" s="162">
        <v>2.5</v>
      </c>
      <c r="L17" s="161"/>
      <c r="M17" s="159">
        <v>87</v>
      </c>
      <c r="N17" s="161"/>
      <c r="O17" s="162" t="s">
        <v>60</v>
      </c>
      <c r="P17" s="165"/>
      <c r="S17" s="179"/>
    </row>
    <row r="18" spans="1:19">
      <c r="A18" s="179"/>
      <c r="B18" s="181">
        <f t="shared" si="0"/>
        <v>10</v>
      </c>
      <c r="C18" s="414" t="s">
        <v>55</v>
      </c>
      <c r="D18" s="415">
        <v>1000</v>
      </c>
      <c r="E18" s="416">
        <v>441</v>
      </c>
      <c r="F18" s="415">
        <v>3.01</v>
      </c>
      <c r="G18" s="416">
        <v>1.92</v>
      </c>
      <c r="H18" s="415">
        <v>0.36</v>
      </c>
      <c r="I18" s="416">
        <v>5.3</v>
      </c>
      <c r="J18" s="417"/>
      <c r="K18" s="415">
        <v>2</v>
      </c>
      <c r="L18" s="417"/>
      <c r="M18" s="416">
        <v>215</v>
      </c>
      <c r="N18" s="417"/>
      <c r="O18" s="415" t="s">
        <v>60</v>
      </c>
      <c r="P18" s="165"/>
      <c r="S18" s="179"/>
    </row>
    <row r="19" spans="1:19">
      <c r="A19" s="179"/>
      <c r="B19" s="181">
        <f t="shared" si="0"/>
        <v>11</v>
      </c>
      <c r="C19" s="158" t="s">
        <v>56</v>
      </c>
      <c r="D19" s="162">
        <v>2000</v>
      </c>
      <c r="E19" s="159">
        <v>894</v>
      </c>
      <c r="F19" s="162">
        <v>3.83</v>
      </c>
      <c r="G19" s="159">
        <v>2.41</v>
      </c>
      <c r="H19" s="162">
        <v>0.46</v>
      </c>
      <c r="I19" s="159">
        <v>5.2</v>
      </c>
      <c r="J19" s="161"/>
      <c r="K19" s="162">
        <v>2</v>
      </c>
      <c r="L19" s="161"/>
      <c r="M19" s="159">
        <v>430</v>
      </c>
      <c r="N19" s="161"/>
      <c r="O19" s="162" t="s">
        <v>60</v>
      </c>
      <c r="P19" s="165"/>
      <c r="S19" s="179"/>
    </row>
    <row r="20" spans="1:19">
      <c r="A20" s="179"/>
      <c r="B20" s="181">
        <f t="shared" si="0"/>
        <v>12</v>
      </c>
      <c r="C20" s="158" t="s">
        <v>57</v>
      </c>
      <c r="D20" s="162">
        <v>250</v>
      </c>
      <c r="E20" s="159">
        <v>134</v>
      </c>
      <c r="F20" s="162">
        <v>1.91</v>
      </c>
      <c r="G20" s="159">
        <v>1.19</v>
      </c>
      <c r="H20" s="162">
        <v>0.23</v>
      </c>
      <c r="I20" s="159">
        <v>5.2</v>
      </c>
      <c r="J20" s="161"/>
      <c r="K20" s="162">
        <v>2.5</v>
      </c>
      <c r="L20" s="161"/>
      <c r="M20" s="159">
        <v>45</v>
      </c>
      <c r="N20" s="161"/>
      <c r="O20" s="162" t="s">
        <v>60</v>
      </c>
      <c r="P20" s="165"/>
      <c r="S20" s="179"/>
    </row>
    <row r="21" spans="1:19">
      <c r="A21" s="179"/>
      <c r="B21" s="181">
        <f t="shared" si="0"/>
        <v>13</v>
      </c>
      <c r="C21" s="158" t="s">
        <v>58</v>
      </c>
      <c r="D21" s="162">
        <v>500</v>
      </c>
      <c r="E21" s="159">
        <v>260</v>
      </c>
      <c r="F21" s="162">
        <v>2.2599999999999998</v>
      </c>
      <c r="G21" s="159">
        <v>1.55</v>
      </c>
      <c r="H21" s="162">
        <v>0.27</v>
      </c>
      <c r="I21" s="159">
        <v>5.7</v>
      </c>
      <c r="J21" s="161"/>
      <c r="K21" s="162">
        <v>2.5</v>
      </c>
      <c r="L21" s="161"/>
      <c r="M21" s="159">
        <v>87</v>
      </c>
      <c r="N21" s="161"/>
      <c r="O21" s="162" t="s">
        <v>60</v>
      </c>
      <c r="P21" s="165"/>
      <c r="S21" s="179"/>
    </row>
    <row r="22" spans="1:19" ht="16.5" thickBot="1">
      <c r="A22" s="179"/>
      <c r="B22" s="182">
        <f t="shared" si="0"/>
        <v>14</v>
      </c>
      <c r="C22" s="166" t="s">
        <v>59</v>
      </c>
      <c r="D22" s="167">
        <v>750</v>
      </c>
      <c r="E22" s="171">
        <v>380</v>
      </c>
      <c r="F22" s="172">
        <v>2.21</v>
      </c>
      <c r="G22" s="171">
        <v>1.1200000000000001</v>
      </c>
      <c r="H22" s="172">
        <v>0.11</v>
      </c>
      <c r="I22" s="171">
        <v>3.5</v>
      </c>
      <c r="J22" s="169"/>
      <c r="K22" s="167">
        <v>1</v>
      </c>
      <c r="L22" s="169"/>
      <c r="M22" s="168">
        <v>177</v>
      </c>
      <c r="N22" s="169"/>
      <c r="O22" s="167" t="s">
        <v>60</v>
      </c>
      <c r="P22" s="170"/>
      <c r="S22" s="179"/>
    </row>
    <row r="23" spans="1:19">
      <c r="A23" s="179"/>
      <c r="E23" s="203">
        <v>441</v>
      </c>
      <c r="F23" s="352"/>
      <c r="G23" s="203">
        <v>1.92</v>
      </c>
      <c r="H23" s="203">
        <v>0.36</v>
      </c>
      <c r="I23" s="352"/>
      <c r="J23" s="20"/>
      <c r="K23" s="247">
        <v>2</v>
      </c>
      <c r="L23" s="20"/>
      <c r="M23" s="247">
        <v>215</v>
      </c>
      <c r="S23" s="179"/>
    </row>
    <row r="24" spans="1:19" ht="18.75">
      <c r="A24" s="179"/>
      <c r="E24" s="102"/>
      <c r="K24" s="19"/>
      <c r="L24" s="19"/>
      <c r="M24" s="19"/>
      <c r="N24" s="19"/>
      <c r="O24" s="19"/>
      <c r="P24" s="19"/>
      <c r="Q24" s="19"/>
      <c r="R24" s="173" t="s">
        <v>61</v>
      </c>
      <c r="S24" s="179"/>
    </row>
    <row r="25" spans="1:19">
      <c r="A25" s="179"/>
      <c r="S25" s="179"/>
    </row>
    <row r="26" spans="1:19">
      <c r="A26" s="179"/>
      <c r="F26" s="604" t="s">
        <v>18</v>
      </c>
      <c r="G26" s="604"/>
      <c r="N26" s="604" t="s">
        <v>19</v>
      </c>
      <c r="O26" s="604"/>
      <c r="S26" s="179"/>
    </row>
    <row r="27" spans="1:19">
      <c r="A27" s="179"/>
      <c r="B27" s="605" t="s">
        <v>4</v>
      </c>
      <c r="C27" s="481"/>
      <c r="D27" s="481"/>
      <c r="E27" s="481"/>
      <c r="F27" s="481"/>
      <c r="G27" s="481"/>
      <c r="H27" s="481"/>
      <c r="I27" s="481"/>
      <c r="J27" s="481"/>
      <c r="L27" s="640" t="s">
        <v>20</v>
      </c>
      <c r="M27" s="640"/>
      <c r="N27" s="147" t="s">
        <v>21</v>
      </c>
      <c r="O27" s="147" t="s">
        <v>22</v>
      </c>
      <c r="P27" s="147" t="s">
        <v>23</v>
      </c>
      <c r="Q27" s="147" t="s">
        <v>24</v>
      </c>
      <c r="R27" s="176" t="s">
        <v>25</v>
      </c>
      <c r="S27" s="179"/>
    </row>
    <row r="28" spans="1:19">
      <c r="A28" s="179"/>
      <c r="B28" s="183"/>
      <c r="C28" s="36"/>
      <c r="D28" s="481" t="s">
        <v>5</v>
      </c>
      <c r="E28" s="481"/>
      <c r="F28" s="481"/>
      <c r="G28" s="481"/>
      <c r="H28" s="481"/>
      <c r="I28" s="36"/>
      <c r="J28" s="36"/>
      <c r="L28" s="640" t="s">
        <v>63</v>
      </c>
      <c r="M28" s="640"/>
      <c r="N28" s="379">
        <v>1.639</v>
      </c>
      <c r="O28" s="41">
        <v>1.34</v>
      </c>
      <c r="P28" s="41">
        <v>1.26</v>
      </c>
      <c r="Q28" s="41">
        <v>1.23</v>
      </c>
      <c r="R28" s="177">
        <v>1.05</v>
      </c>
      <c r="S28" s="179"/>
    </row>
    <row r="29" spans="1:19">
      <c r="A29" s="179"/>
      <c r="B29" s="183"/>
      <c r="C29" s="36"/>
      <c r="D29" s="146" t="s">
        <v>15</v>
      </c>
      <c r="E29" s="413" t="s">
        <v>7</v>
      </c>
      <c r="F29" s="349" t="s">
        <v>8</v>
      </c>
      <c r="G29" s="412" t="s">
        <v>9</v>
      </c>
      <c r="H29" s="36"/>
      <c r="I29" s="36"/>
      <c r="J29" s="36"/>
      <c r="L29" s="184" t="s">
        <v>28</v>
      </c>
      <c r="M29" s="203">
        <v>1.639</v>
      </c>
      <c r="S29" s="179"/>
    </row>
    <row r="30" spans="1:19">
      <c r="A30" s="179"/>
      <c r="B30" s="183"/>
      <c r="C30" s="36"/>
      <c r="D30" s="38" t="s">
        <v>14</v>
      </c>
      <c r="E30" s="413" t="s">
        <v>10</v>
      </c>
      <c r="F30" s="349" t="s">
        <v>11</v>
      </c>
      <c r="G30" s="412" t="s">
        <v>12</v>
      </c>
      <c r="H30" s="36"/>
      <c r="I30" s="36"/>
      <c r="J30" s="36"/>
      <c r="R30" t="s">
        <v>64</v>
      </c>
      <c r="S30" s="179"/>
    </row>
    <row r="31" spans="1:19" ht="16.5" thickBot="1">
      <c r="A31" s="179"/>
      <c r="B31" s="183"/>
      <c r="C31" s="36"/>
      <c r="D31" s="36"/>
      <c r="E31" s="36"/>
      <c r="F31" s="36"/>
      <c r="G31" s="412" t="s">
        <v>13</v>
      </c>
      <c r="H31" s="36"/>
      <c r="I31" s="36"/>
      <c r="J31" s="199"/>
      <c r="S31" s="179"/>
    </row>
    <row r="32" spans="1:19">
      <c r="A32" s="179"/>
      <c r="B32" s="185" t="s">
        <v>26</v>
      </c>
      <c r="C32" s="247">
        <v>600</v>
      </c>
      <c r="E32" s="184" t="s">
        <v>27</v>
      </c>
      <c r="F32" s="247">
        <v>30</v>
      </c>
      <c r="J32" s="200"/>
      <c r="S32" s="179"/>
    </row>
    <row r="33" spans="1:19" ht="16.5" thickBot="1">
      <c r="A33" s="179"/>
      <c r="J33" s="201"/>
      <c r="S33" s="179"/>
    </row>
    <row r="34" spans="1:19" ht="16.5" thickBot="1">
      <c r="A34" s="179"/>
      <c r="D34" s="198"/>
      <c r="E34" s="153"/>
      <c r="F34" s="153"/>
      <c r="G34" s="153"/>
      <c r="H34" s="153"/>
      <c r="I34" s="153"/>
      <c r="J34" s="89" t="s">
        <v>102</v>
      </c>
      <c r="S34" s="179"/>
    </row>
    <row r="35" spans="1:19" ht="16.5" thickBot="1">
      <c r="A35" s="179"/>
      <c r="M35" s="205"/>
      <c r="N35" s="206"/>
      <c r="O35" s="206"/>
      <c r="P35" s="206"/>
      <c r="Q35" s="206" t="s">
        <v>91</v>
      </c>
      <c r="R35" s="88" t="s">
        <v>90</v>
      </c>
      <c r="S35" s="179"/>
    </row>
    <row r="36" spans="1:19">
      <c r="A36" s="179"/>
      <c r="S36" s="179"/>
    </row>
    <row r="37" spans="1:19" ht="16.5" thickBot="1">
      <c r="A37" s="179"/>
      <c r="N37" s="329"/>
      <c r="O37" s="560"/>
      <c r="P37" s="560"/>
      <c r="Q37" s="560"/>
      <c r="R37" s="560"/>
      <c r="S37" s="193"/>
    </row>
    <row r="38" spans="1:19" ht="16.5" thickBot="1">
      <c r="A38" s="179"/>
      <c r="G38" s="540" t="s">
        <v>168</v>
      </c>
      <c r="H38" s="542"/>
      <c r="N38" s="354"/>
      <c r="O38" s="560"/>
      <c r="P38" s="560"/>
      <c r="Q38" s="560"/>
      <c r="R38" s="560"/>
      <c r="S38" s="193"/>
    </row>
    <row r="39" spans="1:19">
      <c r="A39" s="179"/>
      <c r="C39" s="629" t="s">
        <v>69</v>
      </c>
      <c r="D39" s="630"/>
      <c r="E39" s="630"/>
      <c r="F39" s="630"/>
      <c r="G39" s="631" t="s">
        <v>65</v>
      </c>
      <c r="H39" s="631"/>
      <c r="I39" s="631" t="s">
        <v>66</v>
      </c>
      <c r="J39" s="631"/>
      <c r="K39" s="222" t="s">
        <v>67</v>
      </c>
      <c r="L39" s="632" t="s">
        <v>68</v>
      </c>
      <c r="M39" s="632"/>
      <c r="N39" s="329"/>
      <c r="O39" s="560"/>
      <c r="P39" s="560"/>
      <c r="Q39" s="560"/>
      <c r="R39" s="560"/>
      <c r="S39" s="193"/>
    </row>
    <row r="40" spans="1:19">
      <c r="A40" s="179"/>
      <c r="C40" s="190"/>
      <c r="D40" s="189"/>
      <c r="E40" s="615" t="s">
        <v>40</v>
      </c>
      <c r="F40" s="615"/>
      <c r="G40" s="186" t="s">
        <v>70</v>
      </c>
      <c r="H40" s="187"/>
      <c r="I40" s="186" t="s">
        <v>71</v>
      </c>
      <c r="J40" s="187"/>
      <c r="K40" s="186" t="s">
        <v>72</v>
      </c>
      <c r="L40" s="187"/>
      <c r="M40" s="326" t="s">
        <v>73</v>
      </c>
      <c r="N40" s="355"/>
      <c r="O40" s="329"/>
      <c r="P40" s="328"/>
      <c r="Q40" s="328"/>
      <c r="R40" s="328"/>
      <c r="S40" s="193"/>
    </row>
    <row r="41" spans="1:19">
      <c r="A41" s="179"/>
      <c r="C41" s="609" t="s">
        <v>74</v>
      </c>
      <c r="D41" s="610"/>
      <c r="E41" s="610"/>
      <c r="F41" s="611"/>
      <c r="G41" s="192">
        <v>1.2999999999999999E-5</v>
      </c>
      <c r="H41" s="188"/>
      <c r="I41" s="41">
        <v>0.6</v>
      </c>
      <c r="J41" s="188"/>
      <c r="K41" s="41">
        <v>0.85</v>
      </c>
      <c r="L41" s="188"/>
      <c r="M41" s="326" t="s">
        <v>41</v>
      </c>
      <c r="N41" s="328"/>
      <c r="O41" s="328"/>
      <c r="P41" s="328"/>
      <c r="Q41" s="328"/>
      <c r="R41" s="328"/>
      <c r="S41" s="193"/>
    </row>
    <row r="42" spans="1:19" ht="16.5" thickBot="1">
      <c r="A42" s="179"/>
      <c r="C42" s="612" t="s">
        <v>75</v>
      </c>
      <c r="D42" s="613"/>
      <c r="E42" s="613"/>
      <c r="F42" s="614"/>
      <c r="G42" s="249">
        <v>6.9999999999999999E-6</v>
      </c>
      <c r="H42" s="250"/>
      <c r="I42" s="215">
        <v>0.5</v>
      </c>
      <c r="J42" s="250"/>
      <c r="K42" s="215">
        <v>0.6</v>
      </c>
      <c r="L42" s="250"/>
      <c r="M42" s="251" t="s">
        <v>41</v>
      </c>
      <c r="S42" s="179"/>
    </row>
    <row r="43" spans="1:19" ht="16.5" thickBot="1">
      <c r="A43" s="179"/>
      <c r="C43" s="616" t="s">
        <v>87</v>
      </c>
      <c r="D43" s="617"/>
      <c r="E43" s="617"/>
      <c r="F43" s="618"/>
      <c r="G43" s="287">
        <v>6.0000000000000002E-6</v>
      </c>
      <c r="H43" s="286"/>
      <c r="I43" s="289">
        <v>0.5</v>
      </c>
      <c r="J43" s="286"/>
      <c r="K43" s="289">
        <v>0.6</v>
      </c>
      <c r="L43" s="253"/>
      <c r="M43" s="255" t="s">
        <v>41</v>
      </c>
      <c r="S43" s="179"/>
    </row>
    <row r="44" spans="1:19" ht="16.5" thickBot="1">
      <c r="A44" s="179"/>
      <c r="C44" s="616" t="s">
        <v>76</v>
      </c>
      <c r="D44" s="617"/>
      <c r="E44" s="617"/>
      <c r="F44" s="618"/>
      <c r="G44" s="287">
        <v>5.0000000000000004E-6</v>
      </c>
      <c r="H44" s="286"/>
      <c r="I44" s="289">
        <v>0.5</v>
      </c>
      <c r="J44" s="286"/>
      <c r="K44" s="289">
        <v>0.6</v>
      </c>
      <c r="L44" s="253"/>
      <c r="M44" s="378" t="s">
        <v>41</v>
      </c>
      <c r="S44" s="179"/>
    </row>
    <row r="45" spans="1:19">
      <c r="A45" s="179"/>
      <c r="C45" s="606" t="s">
        <v>88</v>
      </c>
      <c r="D45" s="607"/>
      <c r="E45" s="607"/>
      <c r="F45" s="608"/>
      <c r="G45" s="252">
        <v>4.5000000000000001E-6</v>
      </c>
      <c r="H45" s="187"/>
      <c r="I45" s="216">
        <v>0.5</v>
      </c>
      <c r="J45" s="187"/>
      <c r="K45" s="216">
        <v>0.63</v>
      </c>
      <c r="L45" s="187"/>
      <c r="M45" s="326" t="s">
        <v>41</v>
      </c>
      <c r="N45" s="328"/>
      <c r="O45" s="328"/>
      <c r="P45" s="328"/>
      <c r="Q45" s="328"/>
      <c r="R45" s="328"/>
      <c r="S45" s="193"/>
    </row>
    <row r="46" spans="1:19">
      <c r="A46" s="179"/>
      <c r="C46" s="609" t="s">
        <v>77</v>
      </c>
      <c r="D46" s="610"/>
      <c r="E46" s="610"/>
      <c r="F46" s="611"/>
      <c r="G46" s="192">
        <v>3.0000000000000001E-6</v>
      </c>
      <c r="H46" s="188"/>
      <c r="I46" s="41">
        <v>0.25</v>
      </c>
      <c r="J46" s="188"/>
      <c r="K46" s="41">
        <v>0.57999999999999996</v>
      </c>
      <c r="L46" s="188"/>
      <c r="M46" s="326">
        <v>0.88</v>
      </c>
      <c r="N46" s="328"/>
      <c r="O46" s="328"/>
      <c r="P46" s="560"/>
      <c r="Q46" s="560"/>
      <c r="R46" s="328"/>
      <c r="S46" s="193"/>
    </row>
    <row r="47" spans="1:19">
      <c r="A47" s="179"/>
      <c r="C47" s="609" t="s">
        <v>78</v>
      </c>
      <c r="D47" s="610"/>
      <c r="E47" s="610"/>
      <c r="F47" s="611"/>
      <c r="G47" s="192">
        <v>2.5000000000000002E-6</v>
      </c>
      <c r="H47" s="188"/>
      <c r="I47" s="41">
        <v>0.25</v>
      </c>
      <c r="J47" s="188"/>
      <c r="K47" s="41">
        <v>0.61</v>
      </c>
      <c r="L47" s="188"/>
      <c r="M47" s="326">
        <v>0.81</v>
      </c>
      <c r="N47" s="560"/>
      <c r="O47" s="560"/>
      <c r="P47" s="560"/>
      <c r="Q47" s="329"/>
      <c r="R47" s="329"/>
      <c r="S47" s="193"/>
    </row>
    <row r="48" spans="1:19">
      <c r="A48" s="179"/>
      <c r="C48" s="609" t="s">
        <v>79</v>
      </c>
      <c r="D48" s="610"/>
      <c r="E48" s="610"/>
      <c r="F48" s="611"/>
      <c r="G48" s="192">
        <v>6.9999999999999997E-7</v>
      </c>
      <c r="H48" s="188"/>
      <c r="I48" s="41">
        <v>0.2</v>
      </c>
      <c r="J48" s="188"/>
      <c r="K48" s="41">
        <v>0.53</v>
      </c>
      <c r="L48" s="188"/>
      <c r="M48" s="326">
        <v>0.75</v>
      </c>
      <c r="N48" s="560"/>
      <c r="O48" s="560"/>
      <c r="P48" s="560"/>
      <c r="Q48" s="362"/>
      <c r="R48" s="354"/>
      <c r="S48" s="193"/>
    </row>
    <row r="49" spans="1:19" ht="16.5" thickBot="1">
      <c r="A49" s="179"/>
      <c r="C49" s="612" t="s">
        <v>80</v>
      </c>
      <c r="D49" s="613"/>
      <c r="E49" s="613"/>
      <c r="F49" s="614"/>
      <c r="G49" s="249">
        <v>1.5E-6</v>
      </c>
      <c r="H49" s="250"/>
      <c r="I49" s="215">
        <v>0.25</v>
      </c>
      <c r="J49" s="250"/>
      <c r="K49" s="215">
        <v>0.56000000000000005</v>
      </c>
      <c r="L49" s="250"/>
      <c r="M49" s="326">
        <v>0.79</v>
      </c>
      <c r="N49" s="560"/>
      <c r="O49" s="560"/>
      <c r="P49" s="560"/>
      <c r="Q49" s="354"/>
      <c r="R49" s="354"/>
      <c r="S49" s="193"/>
    </row>
    <row r="50" spans="1:19" ht="16.5" thickBot="1">
      <c r="A50" s="179"/>
      <c r="C50" s="616" t="s">
        <v>81</v>
      </c>
      <c r="D50" s="617"/>
      <c r="E50" s="617"/>
      <c r="F50" s="618"/>
      <c r="G50" s="287">
        <v>1.1999999999999999E-6</v>
      </c>
      <c r="H50" s="288"/>
      <c r="I50" s="289">
        <v>0.16</v>
      </c>
      <c r="J50" s="288"/>
      <c r="K50" s="289">
        <v>0.36</v>
      </c>
      <c r="L50" s="288"/>
      <c r="M50" s="379">
        <v>0.51</v>
      </c>
      <c r="N50" s="560"/>
      <c r="O50" s="560"/>
      <c r="P50" s="560"/>
      <c r="Q50" s="329"/>
      <c r="R50" s="329"/>
      <c r="S50" s="193"/>
    </row>
    <row r="51" spans="1:19" ht="16.5" thickBot="1">
      <c r="A51" s="179"/>
      <c r="C51" s="620" t="s">
        <v>82</v>
      </c>
      <c r="D51" s="621"/>
      <c r="E51" s="621"/>
      <c r="F51" s="622"/>
      <c r="G51" s="256">
        <v>9.9999999999999995E-7</v>
      </c>
      <c r="H51" s="257"/>
      <c r="I51" s="258">
        <v>0.16</v>
      </c>
      <c r="J51" s="257"/>
      <c r="K51" s="258">
        <v>0.34</v>
      </c>
      <c r="L51" s="257"/>
      <c r="M51" s="326">
        <v>0.48</v>
      </c>
      <c r="N51" s="560"/>
      <c r="O51" s="560"/>
      <c r="P51" s="560"/>
      <c r="Q51" s="329"/>
      <c r="R51" s="329"/>
      <c r="S51" s="193"/>
    </row>
    <row r="52" spans="1:19">
      <c r="A52" s="179"/>
      <c r="C52" s="623" t="s">
        <v>83</v>
      </c>
      <c r="D52" s="624"/>
      <c r="E52" s="624"/>
      <c r="F52" s="625"/>
      <c r="G52" s="359">
        <v>7.9999999999999996E-7</v>
      </c>
      <c r="H52" s="360"/>
      <c r="I52" s="361">
        <v>0.13</v>
      </c>
      <c r="J52" s="360"/>
      <c r="K52" s="361">
        <v>0.32</v>
      </c>
      <c r="L52" s="360"/>
      <c r="M52" s="379">
        <v>0.46</v>
      </c>
      <c r="N52" s="572"/>
      <c r="O52" s="572"/>
      <c r="P52" s="572"/>
      <c r="Q52" s="329"/>
      <c r="R52" s="329"/>
      <c r="S52" s="193"/>
    </row>
    <row r="53" spans="1:19">
      <c r="A53" s="179"/>
      <c r="C53" s="575" t="s">
        <v>84</v>
      </c>
      <c r="D53" s="575"/>
      <c r="E53" s="575"/>
      <c r="F53" s="575"/>
      <c r="G53" s="326">
        <v>6.9999999999999997E-7</v>
      </c>
      <c r="H53" s="188"/>
      <c r="I53" s="326">
        <v>0.13</v>
      </c>
      <c r="J53" s="188"/>
      <c r="K53" s="326">
        <v>0.3</v>
      </c>
      <c r="L53" s="188"/>
      <c r="M53" s="326">
        <v>0.44</v>
      </c>
      <c r="N53" s="572"/>
      <c r="O53" s="572"/>
      <c r="P53" s="572"/>
      <c r="Q53" s="329"/>
      <c r="R53" s="329"/>
      <c r="S53" s="193"/>
    </row>
    <row r="54" spans="1:19">
      <c r="A54" s="179"/>
      <c r="C54" s="619" t="s">
        <v>167</v>
      </c>
      <c r="D54" s="619"/>
      <c r="E54" s="619"/>
      <c r="F54" s="619"/>
      <c r="G54" s="358">
        <v>1.5E-6</v>
      </c>
      <c r="H54" s="356"/>
      <c r="I54" s="329"/>
      <c r="J54" s="424"/>
      <c r="K54" s="203">
        <v>0.56000000000000005</v>
      </c>
      <c r="L54" s="424"/>
      <c r="M54" s="203">
        <v>0.79</v>
      </c>
      <c r="N54" s="626" t="s">
        <v>190</v>
      </c>
      <c r="O54" s="626"/>
      <c r="P54" s="626"/>
      <c r="Q54" s="626"/>
      <c r="R54" s="626"/>
      <c r="S54" s="193"/>
    </row>
    <row r="55" spans="1:19">
      <c r="A55" s="179"/>
      <c r="C55" s="572"/>
      <c r="D55" s="572"/>
      <c r="E55" s="572"/>
      <c r="F55" s="572"/>
      <c r="G55" s="357"/>
      <c r="H55" s="328"/>
      <c r="I55" s="329"/>
      <c r="J55" s="328"/>
      <c r="K55" s="203">
        <v>0.32</v>
      </c>
      <c r="L55" s="328"/>
      <c r="M55" s="203">
        <v>0.46</v>
      </c>
      <c r="N55" s="422" t="s">
        <v>191</v>
      </c>
      <c r="O55" s="328"/>
      <c r="P55" s="328"/>
      <c r="Q55" s="328"/>
      <c r="R55" s="328"/>
      <c r="S55" s="193"/>
    </row>
    <row r="56" spans="1:19">
      <c r="A56" s="179"/>
      <c r="M56" s="329"/>
      <c r="S56" s="179"/>
    </row>
    <row r="57" spans="1:19">
      <c r="A57" s="179"/>
      <c r="C57" s="572"/>
      <c r="D57" s="572"/>
      <c r="E57" s="572"/>
      <c r="F57" s="572"/>
      <c r="G57" s="357"/>
      <c r="H57" s="328"/>
      <c r="I57" s="329"/>
      <c r="J57" s="328"/>
      <c r="K57" s="329"/>
      <c r="L57" s="328"/>
      <c r="M57" s="329"/>
      <c r="S57" s="179"/>
    </row>
    <row r="58" spans="1:19" ht="16.5" thickBot="1">
      <c r="A58" s="179"/>
      <c r="H58" s="202"/>
      <c r="I58" s="296"/>
      <c r="J58" s="296"/>
      <c r="K58" s="296"/>
      <c r="L58" s="195"/>
      <c r="M58" s="196" t="s">
        <v>169</v>
      </c>
      <c r="S58" s="179"/>
    </row>
    <row r="59" spans="1:19">
      <c r="A59" s="202"/>
      <c r="B59" s="328"/>
      <c r="C59" s="328"/>
      <c r="D59" s="328"/>
      <c r="E59" s="328"/>
      <c r="F59" s="328"/>
      <c r="G59" s="328"/>
      <c r="H59" s="328"/>
      <c r="I59" s="328"/>
      <c r="J59" s="328"/>
      <c r="K59" s="328"/>
      <c r="S59" s="179"/>
    </row>
    <row r="60" spans="1:19" ht="16.5" thickBot="1">
      <c r="A60" s="202"/>
      <c r="B60" s="328"/>
      <c r="C60" s="328"/>
      <c r="D60" s="328"/>
      <c r="E60" s="328"/>
      <c r="F60" s="328"/>
      <c r="G60" s="328"/>
      <c r="H60" s="328"/>
      <c r="I60" s="328"/>
      <c r="J60" s="328"/>
      <c r="K60" s="328"/>
      <c r="S60" s="179"/>
    </row>
    <row r="61" spans="1:19">
      <c r="A61" s="202"/>
      <c r="B61" s="328"/>
      <c r="C61" s="328"/>
      <c r="D61" s="328"/>
      <c r="E61" s="328"/>
      <c r="F61" s="560"/>
      <c r="G61" s="560"/>
      <c r="H61" s="328"/>
      <c r="I61" s="328"/>
      <c r="J61" s="377"/>
      <c r="K61" s="377"/>
      <c r="L61" s="376"/>
      <c r="M61" s="311"/>
      <c r="N61" s="311"/>
      <c r="O61" s="311"/>
      <c r="P61" s="311"/>
      <c r="Q61" s="311"/>
      <c r="R61" s="312" t="s">
        <v>143</v>
      </c>
      <c r="S61" s="179"/>
    </row>
    <row r="62" spans="1:19">
      <c r="A62" s="202"/>
      <c r="B62" s="560"/>
      <c r="C62" s="560"/>
      <c r="D62" s="560"/>
      <c r="E62" s="560"/>
      <c r="F62" s="560"/>
      <c r="G62" s="560"/>
      <c r="H62" s="560"/>
      <c r="I62" s="329"/>
      <c r="J62" s="560"/>
      <c r="K62" s="560"/>
      <c r="L62" s="313"/>
      <c r="M62" s="313"/>
      <c r="N62" s="313"/>
      <c r="O62" s="313"/>
      <c r="P62" s="313"/>
      <c r="Q62" s="313"/>
      <c r="R62" s="314" t="s">
        <v>144</v>
      </c>
      <c r="S62" s="179"/>
    </row>
    <row r="63" spans="1:19" ht="18.75">
      <c r="A63" s="202"/>
      <c r="B63" s="587"/>
      <c r="C63" s="587"/>
      <c r="D63" s="628"/>
      <c r="E63" s="560"/>
      <c r="F63" s="560"/>
      <c r="G63" s="560"/>
      <c r="H63" s="560"/>
      <c r="I63" s="329"/>
      <c r="J63" s="560"/>
      <c r="K63" s="560"/>
      <c r="L63" s="313"/>
      <c r="M63" s="313"/>
      <c r="N63" s="313"/>
      <c r="O63" s="313"/>
      <c r="P63" s="313"/>
      <c r="Q63" s="313"/>
      <c r="R63" s="314" t="s">
        <v>146</v>
      </c>
      <c r="S63" s="179"/>
    </row>
    <row r="64" spans="1:19">
      <c r="A64" s="202"/>
      <c r="B64" s="587"/>
      <c r="C64" s="587"/>
      <c r="D64" s="572"/>
      <c r="E64" s="572"/>
      <c r="F64" s="572"/>
      <c r="G64" s="572"/>
      <c r="H64" s="572"/>
      <c r="I64" s="354"/>
      <c r="J64" s="560"/>
      <c r="K64" s="560"/>
      <c r="L64" s="313"/>
      <c r="M64" s="313"/>
      <c r="N64" s="313"/>
      <c r="O64" s="313"/>
      <c r="P64" s="313"/>
      <c r="Q64" s="313"/>
      <c r="R64" s="314" t="s">
        <v>145</v>
      </c>
      <c r="S64" s="179"/>
    </row>
    <row r="65" spans="1:19" ht="16.5" thickBot="1">
      <c r="A65" s="202"/>
      <c r="B65" s="587"/>
      <c r="C65" s="587"/>
      <c r="D65" s="560"/>
      <c r="E65" s="560"/>
      <c r="F65" s="560"/>
      <c r="G65" s="560"/>
      <c r="H65" s="560"/>
      <c r="I65" s="329"/>
      <c r="J65" s="560"/>
      <c r="K65" s="560"/>
      <c r="L65" s="315"/>
      <c r="M65" s="315"/>
      <c r="N65" s="315"/>
      <c r="O65" s="315"/>
      <c r="P65" s="315"/>
      <c r="Q65" s="315"/>
      <c r="R65" s="316" t="s">
        <v>147</v>
      </c>
      <c r="S65" s="179"/>
    </row>
    <row r="66" spans="1:19">
      <c r="A66" s="202"/>
      <c r="B66" s="587"/>
      <c r="C66" s="587"/>
      <c r="D66" s="572"/>
      <c r="E66" s="572"/>
      <c r="F66" s="572"/>
      <c r="G66" s="572"/>
      <c r="H66" s="572"/>
      <c r="I66" s="354"/>
      <c r="J66" s="572"/>
      <c r="K66" s="572"/>
      <c r="S66" s="179"/>
    </row>
    <row r="67" spans="1:19">
      <c r="A67" s="202"/>
      <c r="B67" s="587"/>
      <c r="C67" s="587"/>
      <c r="D67" s="560"/>
      <c r="E67" s="560"/>
      <c r="F67" s="560"/>
      <c r="G67" s="560"/>
      <c r="H67" s="560"/>
      <c r="I67" s="329"/>
      <c r="J67" s="560"/>
      <c r="K67" s="560"/>
      <c r="S67" s="179"/>
    </row>
    <row r="68" spans="1:19">
      <c r="A68" s="202"/>
      <c r="B68" s="380"/>
      <c r="C68" s="380"/>
      <c r="D68" s="329"/>
      <c r="E68" s="329"/>
      <c r="F68" s="329"/>
      <c r="G68" s="329" t="s">
        <v>170</v>
      </c>
      <c r="H68" s="329"/>
      <c r="I68" s="329"/>
      <c r="J68" s="329"/>
      <c r="K68" s="337"/>
      <c r="S68" s="179"/>
    </row>
    <row r="69" spans="1:19">
      <c r="A69" s="202"/>
      <c r="B69" s="627"/>
      <c r="C69" s="627"/>
      <c r="D69" s="329"/>
      <c r="E69" s="329"/>
      <c r="F69" s="329"/>
      <c r="G69" s="329"/>
      <c r="H69" s="329"/>
      <c r="I69" s="329"/>
      <c r="J69" s="329"/>
      <c r="K69" s="337"/>
      <c r="M69" s="337"/>
      <c r="N69" s="337"/>
      <c r="O69" s="337"/>
      <c r="P69" s="337"/>
      <c r="Q69" s="337"/>
      <c r="R69" s="337"/>
      <c r="S69" s="193"/>
    </row>
    <row r="70" spans="1:19">
      <c r="A70" s="179"/>
      <c r="J70" s="327"/>
      <c r="K70" s="20"/>
      <c r="M70" s="337"/>
      <c r="N70" s="337"/>
      <c r="O70" s="337"/>
      <c r="P70" s="337"/>
      <c r="Q70" s="337"/>
      <c r="R70" s="337"/>
      <c r="S70" s="193"/>
    </row>
    <row r="71" spans="1:19">
      <c r="A71" s="202"/>
      <c r="E71" s="604" t="s">
        <v>92</v>
      </c>
      <c r="F71" s="604"/>
      <c r="J71" s="329"/>
      <c r="K71" s="329"/>
      <c r="L71" s="328"/>
      <c r="M71" s="328"/>
      <c r="N71" s="328"/>
      <c r="O71" s="328"/>
      <c r="P71" s="337"/>
      <c r="Q71" s="420"/>
      <c r="R71" s="328"/>
      <c r="S71" s="193"/>
    </row>
    <row r="72" spans="1:19" ht="16.5" thickBot="1">
      <c r="A72" s="202"/>
      <c r="C72" s="581">
        <v>1</v>
      </c>
      <c r="D72" s="581"/>
      <c r="E72" s="274" t="s">
        <v>93</v>
      </c>
      <c r="F72" s="275" t="s">
        <v>94</v>
      </c>
      <c r="G72" s="218"/>
      <c r="H72" s="219" t="s">
        <v>95</v>
      </c>
      <c r="I72" s="217">
        <f>Sheet2!AB20</f>
        <v>0.38809509977073725</v>
      </c>
      <c r="J72" s="329"/>
      <c r="K72" s="329"/>
      <c r="L72" s="328"/>
      <c r="M72" s="328"/>
      <c r="N72" s="328"/>
      <c r="O72" s="328"/>
      <c r="P72" s="328"/>
      <c r="Q72" s="328"/>
      <c r="S72" s="179"/>
    </row>
    <row r="73" spans="1:19" ht="16.5" thickBot="1">
      <c r="A73" s="202"/>
      <c r="C73" s="582" t="s">
        <v>85</v>
      </c>
      <c r="D73" s="583"/>
      <c r="E73" s="254" t="s">
        <v>97</v>
      </c>
      <c r="F73" s="255">
        <v>0.35</v>
      </c>
      <c r="G73" s="273"/>
      <c r="J73" s="328"/>
      <c r="K73" s="328"/>
      <c r="L73" s="328"/>
      <c r="M73" s="328"/>
      <c r="N73" s="560"/>
      <c r="O73" s="560"/>
      <c r="P73" s="328"/>
      <c r="Q73" s="328"/>
      <c r="S73" s="179"/>
    </row>
    <row r="74" spans="1:19" ht="16.5" thickBot="1">
      <c r="A74" s="202"/>
      <c r="C74" s="584" t="s">
        <v>89</v>
      </c>
      <c r="D74" s="584"/>
      <c r="E74" s="258" t="s">
        <v>98</v>
      </c>
      <c r="F74" s="258">
        <v>0.5</v>
      </c>
      <c r="G74" s="367"/>
      <c r="H74" s="355"/>
      <c r="I74" s="368"/>
      <c r="J74" s="329"/>
      <c r="K74" s="328"/>
      <c r="L74" s="560"/>
      <c r="M74" s="560"/>
      <c r="N74" s="560"/>
      <c r="O74" s="560"/>
      <c r="P74" s="560"/>
      <c r="Q74" s="560"/>
      <c r="S74" s="179"/>
    </row>
    <row r="75" spans="1:19" ht="16.5" thickBot="1">
      <c r="A75" s="202"/>
      <c r="C75" s="582" t="s">
        <v>86</v>
      </c>
      <c r="D75" s="583"/>
      <c r="E75" s="254" t="s">
        <v>99</v>
      </c>
      <c r="F75" s="255">
        <v>0.55000000000000004</v>
      </c>
      <c r="G75" s="273"/>
      <c r="J75" s="329"/>
      <c r="K75" s="328"/>
      <c r="L75" s="560"/>
      <c r="M75" s="560"/>
      <c r="N75" s="567"/>
      <c r="O75" s="567"/>
      <c r="P75" s="560"/>
      <c r="Q75" s="560"/>
      <c r="S75" s="179"/>
    </row>
    <row r="76" spans="1:19">
      <c r="A76" s="202"/>
      <c r="C76" s="585" t="s">
        <v>75</v>
      </c>
      <c r="D76" s="585"/>
      <c r="E76" s="216" t="s">
        <v>100</v>
      </c>
      <c r="F76" s="216">
        <v>0.65</v>
      </c>
      <c r="G76" s="218"/>
      <c r="J76" s="329"/>
      <c r="K76" s="328"/>
      <c r="L76" s="560"/>
      <c r="M76" s="560"/>
      <c r="N76" s="560"/>
      <c r="O76" s="560"/>
      <c r="P76" s="560"/>
      <c r="Q76" s="560"/>
      <c r="S76" s="179"/>
    </row>
    <row r="77" spans="1:19">
      <c r="A77" s="202"/>
      <c r="C77" s="573" t="s">
        <v>179</v>
      </c>
      <c r="D77" s="574"/>
      <c r="E77" s="366" t="s">
        <v>180</v>
      </c>
      <c r="F77" s="352">
        <v>0.75</v>
      </c>
      <c r="G77" s="218"/>
      <c r="J77" s="328"/>
      <c r="K77" s="328"/>
      <c r="L77" s="572"/>
      <c r="M77" s="572"/>
      <c r="N77" s="572"/>
      <c r="O77" s="572"/>
      <c r="P77" s="572"/>
      <c r="Q77" s="572"/>
      <c r="S77" s="179"/>
    </row>
    <row r="78" spans="1:19">
      <c r="A78" s="202"/>
      <c r="C78" s="218"/>
      <c r="D78" s="369"/>
      <c r="E78" s="218"/>
      <c r="F78" s="218"/>
      <c r="G78" s="218"/>
      <c r="J78" s="328"/>
      <c r="K78" s="328"/>
      <c r="L78" s="571" t="s">
        <v>173</v>
      </c>
      <c r="M78" s="571"/>
      <c r="N78" s="560"/>
      <c r="O78" s="560"/>
      <c r="P78" s="571" t="s">
        <v>205</v>
      </c>
      <c r="Q78" s="571"/>
      <c r="S78" s="179"/>
    </row>
    <row r="79" spans="1:19">
      <c r="A79" s="179"/>
      <c r="D79" s="329"/>
      <c r="E79" s="197"/>
      <c r="F79" s="248"/>
      <c r="L79" s="575" t="s">
        <v>172</v>
      </c>
      <c r="M79" s="575"/>
      <c r="N79" s="355"/>
      <c r="O79" s="329"/>
      <c r="P79" s="423" t="s">
        <v>206</v>
      </c>
      <c r="Q79" s="203">
        <v>3.7</v>
      </c>
      <c r="R79" t="s">
        <v>207</v>
      </c>
      <c r="S79" s="179"/>
    </row>
    <row r="80" spans="1:19">
      <c r="A80" s="179"/>
      <c r="D80" s="329"/>
      <c r="E80" s="197" t="s">
        <v>96</v>
      </c>
      <c r="F80" s="203">
        <v>1.1000000000000001</v>
      </c>
      <c r="L80" s="208"/>
      <c r="M80" s="203">
        <v>22</v>
      </c>
      <c r="S80" s="179"/>
    </row>
    <row r="81" spans="1:19">
      <c r="A81" s="179"/>
      <c r="S81" s="179"/>
    </row>
    <row r="82" spans="1:19" ht="16.5" thickBot="1">
      <c r="A82" s="381"/>
      <c r="B82" s="382"/>
      <c r="C82" s="382"/>
      <c r="D82" s="382"/>
      <c r="E82" s="382"/>
      <c r="F82" s="382"/>
      <c r="G82" s="382"/>
      <c r="H82" s="382"/>
      <c r="I82" s="382"/>
      <c r="J82" s="382"/>
      <c r="K82" s="382"/>
      <c r="L82" s="382"/>
      <c r="M82" s="382"/>
      <c r="N82" s="382"/>
      <c r="O82" s="382"/>
      <c r="P82" s="382"/>
      <c r="Q82" s="382"/>
      <c r="R82" s="382"/>
      <c r="S82" s="193"/>
    </row>
    <row r="83" spans="1:19" ht="19.5" thickBot="1">
      <c r="A83" s="202"/>
      <c r="B83" s="383"/>
      <c r="C83" s="384"/>
      <c r="D83" s="384"/>
      <c r="E83" s="384"/>
      <c r="F83" s="384"/>
      <c r="G83" s="384"/>
      <c r="H83" s="384"/>
      <c r="I83" s="384"/>
      <c r="J83" s="384"/>
      <c r="K83" s="384"/>
      <c r="L83" s="384"/>
      <c r="M83" s="384"/>
      <c r="N83" s="568" t="s">
        <v>171</v>
      </c>
      <c r="O83" s="569"/>
      <c r="P83" s="569"/>
      <c r="Q83" s="570"/>
      <c r="R83" s="385"/>
      <c r="S83" s="193"/>
    </row>
    <row r="84" spans="1:19">
      <c r="A84" s="202"/>
      <c r="B84" s="397"/>
      <c r="C84" s="368"/>
      <c r="D84" s="368"/>
      <c r="E84" s="368"/>
      <c r="F84" s="368"/>
      <c r="G84" s="368"/>
      <c r="H84" s="368"/>
      <c r="I84" s="368"/>
      <c r="J84" s="337"/>
      <c r="K84" s="337"/>
      <c r="L84" s="329"/>
      <c r="M84" s="329"/>
      <c r="N84" s="368"/>
      <c r="O84" s="368"/>
      <c r="P84" s="368"/>
      <c r="Q84" s="368" t="s">
        <v>174</v>
      </c>
      <c r="R84" s="387"/>
      <c r="S84" s="193"/>
    </row>
    <row r="85" spans="1:19">
      <c r="A85" s="202"/>
      <c r="B85" s="397"/>
      <c r="C85" s="368"/>
      <c r="D85" s="368"/>
      <c r="E85" s="368"/>
      <c r="F85" s="368"/>
      <c r="G85" s="368"/>
      <c r="H85" s="368"/>
      <c r="I85" s="368"/>
      <c r="J85" s="368"/>
      <c r="K85" s="368"/>
      <c r="L85" s="368"/>
      <c r="M85" s="368"/>
      <c r="N85" s="368"/>
      <c r="O85" s="368"/>
      <c r="P85" s="368"/>
      <c r="Q85" s="368"/>
      <c r="R85" s="387"/>
      <c r="S85" s="193"/>
    </row>
    <row r="86" spans="1:19">
      <c r="A86" s="202"/>
      <c r="B86" s="386"/>
      <c r="C86" s="328"/>
      <c r="D86" s="328"/>
      <c r="E86" s="328"/>
      <c r="F86" s="328"/>
      <c r="G86" s="328"/>
      <c r="H86" s="328"/>
      <c r="I86" s="328"/>
      <c r="J86" s="328"/>
      <c r="K86" s="328"/>
      <c r="L86" s="328"/>
      <c r="M86" s="328"/>
      <c r="N86" s="328"/>
      <c r="O86" s="394"/>
      <c r="P86" s="394"/>
      <c r="Q86" s="328"/>
      <c r="R86" s="387"/>
      <c r="S86" s="193"/>
    </row>
    <row r="87" spans="1:19" ht="18.75">
      <c r="A87" s="202"/>
      <c r="B87" s="388"/>
      <c r="C87" s="338"/>
      <c r="D87" s="338"/>
      <c r="E87" s="338"/>
      <c r="F87" s="338"/>
      <c r="G87" s="403" t="s">
        <v>176</v>
      </c>
      <c r="H87" s="398" t="s">
        <v>175</v>
      </c>
      <c r="I87" s="399">
        <f>Sheet2!AB8</f>
        <v>10.312630227074528</v>
      </c>
      <c r="J87" s="576" t="s">
        <v>178</v>
      </c>
      <c r="K87" s="576"/>
      <c r="L87" s="576"/>
      <c r="M87" s="576"/>
      <c r="N87" s="576"/>
      <c r="O87" s="576"/>
      <c r="P87" s="576"/>
      <c r="Q87" s="576"/>
      <c r="R87" s="389"/>
      <c r="S87" s="193"/>
    </row>
    <row r="88" spans="1:19">
      <c r="A88" s="202"/>
      <c r="B88" s="390"/>
      <c r="C88" s="337"/>
      <c r="D88" s="337"/>
      <c r="E88" s="338"/>
      <c r="F88" s="338"/>
      <c r="G88" s="338"/>
      <c r="H88" s="338"/>
      <c r="I88" s="325"/>
      <c r="J88" s="338"/>
      <c r="K88" s="338"/>
      <c r="L88" s="338"/>
      <c r="M88" s="338"/>
      <c r="N88" s="338"/>
      <c r="O88" s="338"/>
      <c r="P88" s="338"/>
      <c r="Q88" s="325"/>
      <c r="R88" s="389"/>
      <c r="S88" s="193"/>
    </row>
    <row r="89" spans="1:19" ht="18.75">
      <c r="A89" s="202"/>
      <c r="B89" s="390"/>
      <c r="C89" s="328"/>
      <c r="D89" s="329"/>
      <c r="E89" s="328"/>
      <c r="F89" s="329"/>
      <c r="G89" s="402" t="s">
        <v>176</v>
      </c>
      <c r="H89" s="398" t="s">
        <v>186</v>
      </c>
      <c r="I89" s="400">
        <f>Sheet2!AB27</f>
        <v>25.538967468900399</v>
      </c>
      <c r="J89" s="576" t="s">
        <v>177</v>
      </c>
      <c r="K89" s="576"/>
      <c r="L89" s="576"/>
      <c r="M89" s="576"/>
      <c r="N89" s="576"/>
      <c r="O89" s="576"/>
      <c r="P89" s="576"/>
      <c r="Q89" s="576"/>
      <c r="R89" s="353"/>
      <c r="S89" s="193"/>
    </row>
    <row r="90" spans="1:19" ht="18.75">
      <c r="A90" s="202"/>
      <c r="B90" s="391"/>
      <c r="C90" s="364"/>
      <c r="D90" s="364"/>
      <c r="E90" s="364"/>
      <c r="F90" s="364"/>
      <c r="G90" s="650" t="s">
        <v>176</v>
      </c>
      <c r="H90" s="651" t="s">
        <v>217</v>
      </c>
      <c r="I90" s="650">
        <f>Sheet2!AB16</f>
        <v>3.6495332546231887</v>
      </c>
      <c r="J90" s="652"/>
      <c r="K90" s="652"/>
      <c r="L90" s="652"/>
      <c r="M90" s="652"/>
      <c r="N90" s="652"/>
      <c r="O90" s="652"/>
      <c r="P90" s="652"/>
      <c r="Q90" s="653" t="s">
        <v>216</v>
      </c>
      <c r="R90" s="392"/>
      <c r="S90" s="193"/>
    </row>
    <row r="91" spans="1:19">
      <c r="A91" s="202"/>
      <c r="B91" s="391"/>
      <c r="C91" s="364"/>
      <c r="D91" s="364"/>
      <c r="E91" s="364"/>
      <c r="F91" s="364"/>
      <c r="G91" s="364"/>
      <c r="H91" s="364"/>
      <c r="I91" s="649"/>
      <c r="J91" s="364"/>
      <c r="K91" s="364"/>
      <c r="L91" s="364"/>
      <c r="M91" s="364"/>
      <c r="N91" s="364"/>
      <c r="O91" s="364"/>
      <c r="P91" s="364"/>
      <c r="Q91" s="364"/>
      <c r="R91" s="392"/>
      <c r="S91" s="193"/>
    </row>
    <row r="92" spans="1:19" ht="20.25">
      <c r="A92" s="202"/>
      <c r="B92" s="386"/>
      <c r="C92" s="328"/>
      <c r="D92" s="328"/>
      <c r="E92" s="368"/>
      <c r="F92" s="368"/>
      <c r="G92" s="337"/>
      <c r="H92" s="337"/>
      <c r="I92" s="337" t="s">
        <v>213</v>
      </c>
      <c r="J92" s="426" t="s">
        <v>212</v>
      </c>
      <c r="K92" s="427">
        <f>Sheet2!AC31</f>
        <v>3.2976041750361729</v>
      </c>
      <c r="L92" s="328" t="s">
        <v>210</v>
      </c>
      <c r="M92" s="423" t="s">
        <v>206</v>
      </c>
      <c r="N92" s="203">
        <f>Q79</f>
        <v>3.7</v>
      </c>
      <c r="O92" s="425"/>
      <c r="P92" s="425"/>
      <c r="Q92" s="425" t="s">
        <v>211</v>
      </c>
      <c r="R92" s="395"/>
      <c r="S92" s="193"/>
    </row>
    <row r="93" spans="1:19" ht="20.25">
      <c r="A93" s="202"/>
      <c r="B93" s="386"/>
      <c r="C93" s="328"/>
      <c r="D93" s="328"/>
      <c r="E93" s="338"/>
      <c r="F93" s="337"/>
      <c r="G93" s="337"/>
      <c r="H93" s="337"/>
      <c r="I93" s="337" t="s">
        <v>218</v>
      </c>
      <c r="J93" s="426" t="s">
        <v>212</v>
      </c>
      <c r="K93" s="427">
        <f>Sheet2!AC32</f>
        <v>4.7523751283343598</v>
      </c>
      <c r="L93" s="328" t="s">
        <v>210</v>
      </c>
      <c r="M93" s="423" t="s">
        <v>206</v>
      </c>
      <c r="N93" s="203">
        <f>Q79</f>
        <v>3.7</v>
      </c>
      <c r="O93" s="425"/>
      <c r="P93" s="425"/>
      <c r="Q93" s="425" t="s">
        <v>211</v>
      </c>
      <c r="R93" s="393"/>
      <c r="S93" s="193"/>
    </row>
    <row r="94" spans="1:19">
      <c r="A94" s="202"/>
      <c r="B94" s="386"/>
      <c r="C94" s="328"/>
      <c r="D94" s="328"/>
      <c r="E94" s="337"/>
      <c r="F94" s="337"/>
      <c r="G94" s="337"/>
      <c r="H94" s="337"/>
      <c r="I94" s="337"/>
      <c r="J94" s="337"/>
      <c r="K94" s="328"/>
      <c r="L94" s="328" t="s">
        <v>215</v>
      </c>
      <c r="M94" s="428" t="s">
        <v>214</v>
      </c>
      <c r="N94" s="396"/>
      <c r="O94" s="396"/>
      <c r="P94" s="365"/>
      <c r="Q94" s="365"/>
      <c r="S94" s="193"/>
    </row>
    <row r="95" spans="1:19">
      <c r="A95" s="202"/>
      <c r="B95" s="328"/>
      <c r="C95" s="328"/>
      <c r="D95" s="328"/>
      <c r="E95" s="328"/>
      <c r="F95" s="328"/>
      <c r="G95" s="328"/>
      <c r="H95" s="328"/>
      <c r="I95" s="328"/>
      <c r="J95" s="328"/>
      <c r="K95" s="328"/>
      <c r="L95" s="328"/>
      <c r="M95" s="328"/>
      <c r="N95" s="396"/>
      <c r="O95" s="396"/>
      <c r="P95" s="365"/>
      <c r="Q95" s="365"/>
      <c r="R95" s="365"/>
      <c r="S95" s="193"/>
    </row>
    <row r="96" spans="1:19">
      <c r="A96" s="202"/>
      <c r="B96" s="328"/>
      <c r="C96" s="328"/>
      <c r="D96" s="328"/>
      <c r="E96" s="328"/>
      <c r="F96" s="328"/>
      <c r="G96" s="328"/>
      <c r="H96" s="328"/>
      <c r="I96" s="328"/>
      <c r="J96" s="328"/>
      <c r="K96" s="328"/>
      <c r="L96" s="328"/>
      <c r="M96" s="328"/>
      <c r="N96" s="328"/>
      <c r="O96" s="328"/>
      <c r="P96" s="328"/>
      <c r="Q96" s="328"/>
      <c r="R96" s="328"/>
      <c r="S96" s="193"/>
    </row>
    <row r="97" spans="1:19">
      <c r="A97" s="202"/>
      <c r="B97" s="328"/>
      <c r="C97" s="328"/>
      <c r="D97" s="328"/>
      <c r="E97" s="328"/>
      <c r="F97" s="328"/>
      <c r="G97" s="328"/>
      <c r="H97" s="328"/>
      <c r="I97" s="328"/>
      <c r="J97" s="328"/>
      <c r="K97" s="328"/>
      <c r="L97" s="328"/>
      <c r="M97" s="328"/>
      <c r="N97" s="328"/>
      <c r="O97" s="328"/>
      <c r="P97" s="328"/>
      <c r="Q97" s="374"/>
      <c r="R97" s="350"/>
      <c r="S97" s="193"/>
    </row>
    <row r="98" spans="1:19" ht="16.5" thickBot="1">
      <c r="A98" s="202"/>
      <c r="B98" s="328"/>
      <c r="C98" s="328"/>
      <c r="D98" s="328"/>
      <c r="E98" s="328"/>
      <c r="F98" s="328"/>
      <c r="G98" s="328"/>
      <c r="H98" s="328"/>
      <c r="I98" s="328"/>
      <c r="J98" s="328"/>
      <c r="K98" s="328"/>
      <c r="L98" s="328"/>
      <c r="M98" s="328"/>
      <c r="N98" s="328"/>
      <c r="O98" s="328"/>
      <c r="P98" s="328"/>
      <c r="Q98" s="328"/>
      <c r="R98" s="328"/>
      <c r="S98" s="193"/>
    </row>
    <row r="99" spans="1:19" ht="16.5" thickBot="1">
      <c r="A99" s="202"/>
      <c r="B99" s="328"/>
      <c r="C99" s="328"/>
      <c r="D99" s="328"/>
      <c r="E99" s="328"/>
      <c r="F99" s="328"/>
      <c r="G99" s="328"/>
      <c r="H99" s="328"/>
      <c r="I99" s="328"/>
      <c r="J99" s="328"/>
      <c r="K99" s="328"/>
      <c r="L99" s="328"/>
      <c r="M99" s="647" t="s">
        <v>183</v>
      </c>
      <c r="N99" s="648"/>
      <c r="O99" s="328"/>
      <c r="P99" s="328"/>
      <c r="Q99" s="374"/>
      <c r="R99" s="329"/>
      <c r="S99" s="193"/>
    </row>
    <row r="100" spans="1:19">
      <c r="A100" s="179"/>
      <c r="S100" s="179"/>
    </row>
    <row r="101" spans="1:19">
      <c r="A101" s="179"/>
      <c r="S101" s="179"/>
    </row>
    <row r="102" spans="1:19">
      <c r="A102" s="179"/>
      <c r="J102" s="560"/>
      <c r="K102" s="560"/>
      <c r="S102" s="179"/>
    </row>
    <row r="103" spans="1:19" ht="16.5" thickBot="1">
      <c r="A103" s="179"/>
      <c r="S103" s="179"/>
    </row>
    <row r="104" spans="1:19" ht="16.5" thickTop="1">
      <c r="A104" s="179"/>
      <c r="G104" s="404"/>
      <c r="H104" s="405"/>
      <c r="I104" s="409"/>
      <c r="J104" s="566"/>
      <c r="K104" s="566"/>
      <c r="L104" s="409"/>
      <c r="M104" s="411"/>
      <c r="S104" s="179"/>
    </row>
    <row r="105" spans="1:19" ht="16.5" thickBot="1">
      <c r="A105" s="179"/>
      <c r="G105" s="406"/>
      <c r="H105" s="407"/>
      <c r="I105" s="407"/>
      <c r="J105" s="410" t="s">
        <v>181</v>
      </c>
      <c r="K105" s="407"/>
      <c r="L105" s="407"/>
      <c r="M105" s="408"/>
      <c r="S105" s="179"/>
    </row>
    <row r="106" spans="1:19">
      <c r="A106" s="179"/>
      <c r="S106" s="179"/>
    </row>
    <row r="107" spans="1:19">
      <c r="A107" s="179"/>
      <c r="K107" s="351" t="s">
        <v>182</v>
      </c>
      <c r="S107" s="179"/>
    </row>
    <row r="108" spans="1:19">
      <c r="A108" s="179"/>
      <c r="C108" s="418"/>
      <c r="D108" s="419"/>
      <c r="E108" s="419"/>
      <c r="F108" s="419"/>
      <c r="G108" s="419"/>
      <c r="H108" s="419"/>
      <c r="I108" s="419"/>
      <c r="J108" s="419"/>
      <c r="K108" s="419"/>
      <c r="L108" s="419"/>
      <c r="M108" s="419"/>
      <c r="N108" s="419"/>
      <c r="O108" s="419"/>
      <c r="P108" s="419"/>
      <c r="Q108" s="419"/>
      <c r="R108" s="419" t="s">
        <v>184</v>
      </c>
      <c r="S108" s="179"/>
    </row>
    <row r="109" spans="1:19">
      <c r="A109" s="179"/>
      <c r="C109" s="418"/>
      <c r="D109" s="419"/>
      <c r="E109" s="419"/>
      <c r="F109" s="419"/>
      <c r="G109" s="419"/>
      <c r="H109" s="419"/>
      <c r="I109" s="419"/>
      <c r="J109" s="419"/>
      <c r="K109" s="419"/>
      <c r="L109" s="419"/>
      <c r="M109" s="419"/>
      <c r="N109" s="419"/>
      <c r="O109" s="419"/>
      <c r="P109" s="419"/>
      <c r="Q109" s="419"/>
      <c r="R109" s="419" t="s">
        <v>185</v>
      </c>
      <c r="S109" s="179"/>
    </row>
    <row r="110" spans="1:19">
      <c r="A110" s="179"/>
      <c r="S110" s="179"/>
    </row>
    <row r="111" spans="1:19">
      <c r="A111" s="179"/>
      <c r="B111" s="97"/>
      <c r="C111" s="97"/>
      <c r="D111" s="97"/>
      <c r="E111" s="97"/>
      <c r="F111" s="97"/>
      <c r="G111" s="97"/>
      <c r="H111" s="97"/>
      <c r="I111" s="97"/>
      <c r="J111" s="97"/>
      <c r="K111" s="97"/>
      <c r="L111" s="97"/>
      <c r="M111" s="97"/>
      <c r="N111" s="97"/>
      <c r="O111" s="97"/>
      <c r="P111" s="97"/>
      <c r="Q111" s="97"/>
      <c r="R111" s="97"/>
      <c r="S111" s="179"/>
    </row>
    <row r="112" spans="1:19">
      <c r="A112" s="202"/>
      <c r="B112" s="368"/>
      <c r="C112" s="355"/>
      <c r="D112" s="368"/>
      <c r="E112" s="328"/>
      <c r="G112" s="328"/>
      <c r="H112" s="328"/>
      <c r="I112" s="328"/>
      <c r="J112" s="328"/>
      <c r="K112" s="328"/>
      <c r="L112" s="328"/>
      <c r="M112" s="328"/>
      <c r="N112" s="328"/>
      <c r="O112" s="328"/>
      <c r="P112" s="328"/>
      <c r="Q112" s="368"/>
      <c r="R112" s="329"/>
      <c r="S112" s="193"/>
    </row>
    <row r="113" spans="1:19">
      <c r="A113" s="202"/>
      <c r="B113" s="368"/>
      <c r="C113" s="355"/>
      <c r="D113" s="368"/>
      <c r="E113" s="328"/>
      <c r="G113" s="328"/>
      <c r="H113" s="328"/>
      <c r="I113" s="368"/>
      <c r="J113" s="355"/>
      <c r="K113" s="368"/>
      <c r="L113" s="328"/>
      <c r="M113" s="328"/>
      <c r="N113" s="328"/>
      <c r="O113" s="328"/>
      <c r="P113" s="328"/>
      <c r="Q113" s="328"/>
      <c r="R113" s="328"/>
      <c r="S113" s="193"/>
    </row>
    <row r="114" spans="1:19">
      <c r="A114" s="202"/>
      <c r="B114" s="329"/>
      <c r="C114" s="329"/>
      <c r="D114" s="329"/>
      <c r="E114" s="329"/>
      <c r="G114" s="328"/>
      <c r="H114" s="328"/>
      <c r="I114" s="368"/>
      <c r="J114" s="355"/>
      <c r="K114" s="368"/>
      <c r="L114" s="328"/>
      <c r="M114" s="328"/>
      <c r="N114" s="328"/>
      <c r="O114" s="328"/>
      <c r="P114" s="328"/>
      <c r="Q114" s="328"/>
      <c r="R114" s="328"/>
      <c r="S114" s="193"/>
    </row>
    <row r="115" spans="1:19">
      <c r="A115" s="202"/>
      <c r="B115" s="329"/>
      <c r="C115" s="329"/>
      <c r="D115" s="329"/>
      <c r="E115" s="329"/>
      <c r="G115" s="328"/>
      <c r="H115" s="328"/>
      <c r="I115" s="586"/>
      <c r="J115" s="586"/>
      <c r="K115" s="560"/>
      <c r="L115" s="560"/>
      <c r="M115" s="560"/>
      <c r="N115" s="586"/>
      <c r="O115" s="328"/>
      <c r="P115" s="328"/>
      <c r="Q115" s="328"/>
      <c r="R115" s="328"/>
      <c r="S115" s="193"/>
    </row>
    <row r="116" spans="1:19">
      <c r="A116" s="202"/>
      <c r="B116" s="355"/>
      <c r="C116" s="329"/>
      <c r="D116" s="329"/>
      <c r="E116" s="328"/>
      <c r="G116" s="328"/>
      <c r="H116" s="328"/>
      <c r="I116" s="586"/>
      <c r="J116" s="586"/>
      <c r="K116" s="329"/>
      <c r="L116" s="329"/>
      <c r="M116" s="329"/>
      <c r="N116" s="586"/>
      <c r="O116" s="328"/>
      <c r="P116" s="328"/>
      <c r="Q116" s="328"/>
      <c r="R116" s="328"/>
      <c r="S116" s="193"/>
    </row>
    <row r="117" spans="1:19">
      <c r="A117" s="202"/>
      <c r="B117" s="355"/>
      <c r="C117" s="329"/>
      <c r="D117" s="329"/>
      <c r="E117" s="328"/>
      <c r="G117" s="328"/>
      <c r="H117" s="328"/>
      <c r="I117" s="587"/>
      <c r="J117" s="587"/>
      <c r="K117" s="370"/>
      <c r="L117" s="370"/>
      <c r="M117" s="370"/>
      <c r="N117" s="370"/>
      <c r="O117" s="328"/>
      <c r="P117" s="328"/>
      <c r="Q117" s="328"/>
      <c r="R117" s="328"/>
      <c r="S117" s="193"/>
    </row>
    <row r="118" spans="1:19">
      <c r="A118" s="202"/>
      <c r="B118" s="328"/>
      <c r="C118" s="328"/>
      <c r="D118" s="328"/>
      <c r="E118" s="328"/>
      <c r="G118" s="328"/>
      <c r="H118" s="328"/>
      <c r="I118" s="587"/>
      <c r="J118" s="587"/>
      <c r="K118" s="370"/>
      <c r="L118" s="370"/>
      <c r="M118" s="370"/>
      <c r="N118" s="370"/>
      <c r="O118" s="328"/>
      <c r="P118" s="328"/>
      <c r="Q118" s="328"/>
      <c r="R118" s="328"/>
      <c r="S118" s="193"/>
    </row>
    <row r="119" spans="1:19">
      <c r="A119" s="179"/>
      <c r="G119" s="328"/>
      <c r="H119" s="328"/>
      <c r="I119" s="587"/>
      <c r="J119" s="587"/>
      <c r="K119" s="370"/>
      <c r="L119" s="370"/>
      <c r="M119" s="370"/>
      <c r="N119" s="370"/>
      <c r="O119" s="328"/>
      <c r="P119" s="328"/>
      <c r="Q119" s="328"/>
      <c r="R119" s="328"/>
      <c r="S119" s="193"/>
    </row>
    <row r="120" spans="1:19">
      <c r="A120" s="179"/>
      <c r="G120" s="328"/>
      <c r="H120" s="328"/>
      <c r="I120" s="587"/>
      <c r="J120" s="587"/>
      <c r="K120" s="370"/>
      <c r="L120" s="370"/>
      <c r="M120" s="370"/>
      <c r="N120" s="370"/>
      <c r="O120" s="328"/>
      <c r="P120" s="328"/>
      <c r="Q120" s="328"/>
      <c r="R120" s="328"/>
      <c r="S120" s="193"/>
    </row>
    <row r="121" spans="1:19">
      <c r="A121" s="179"/>
      <c r="G121" s="328"/>
      <c r="H121" s="355"/>
      <c r="I121" s="329"/>
      <c r="J121" s="329"/>
      <c r="K121" s="328"/>
      <c r="L121" s="355"/>
      <c r="M121" s="329"/>
      <c r="N121" s="329"/>
      <c r="O121" s="328"/>
      <c r="P121" s="328"/>
      <c r="Q121" s="328"/>
      <c r="R121" s="328"/>
      <c r="S121" s="193"/>
    </row>
    <row r="122" spans="1:19">
      <c r="A122" s="179"/>
      <c r="G122" s="328"/>
      <c r="H122" s="355"/>
      <c r="I122" s="329"/>
      <c r="J122" s="329"/>
      <c r="K122" s="328"/>
      <c r="L122" s="355"/>
      <c r="M122" s="329"/>
      <c r="N122" s="329"/>
      <c r="O122" s="328"/>
      <c r="P122" s="328"/>
      <c r="Q122" s="328"/>
      <c r="R122" s="328"/>
      <c r="S122" s="193"/>
    </row>
    <row r="123" spans="1:19">
      <c r="A123" s="179"/>
      <c r="S123" s="179"/>
    </row>
    <row r="124" spans="1:19">
      <c r="A124" s="179"/>
      <c r="B124" s="96"/>
      <c r="C124" s="96"/>
      <c r="D124" s="96"/>
      <c r="E124" s="96"/>
      <c r="F124" s="96"/>
      <c r="G124" s="96"/>
      <c r="H124" s="96"/>
      <c r="I124" s="96"/>
      <c r="J124" s="96"/>
      <c r="K124" s="96"/>
      <c r="L124" s="96"/>
      <c r="M124" s="96"/>
      <c r="N124" s="96"/>
      <c r="O124" s="96"/>
      <c r="P124" s="96"/>
      <c r="Q124" s="96"/>
      <c r="R124" s="96"/>
      <c r="S124" s="179"/>
    </row>
    <row r="125" spans="1:19">
      <c r="A125" s="202"/>
      <c r="B125" s="328"/>
      <c r="C125" s="328"/>
      <c r="D125" s="328"/>
      <c r="E125" s="328"/>
      <c r="F125" s="328"/>
      <c r="G125" s="328"/>
      <c r="H125" s="328"/>
      <c r="I125" s="328"/>
      <c r="J125" s="328"/>
      <c r="K125" s="328"/>
      <c r="L125" s="328"/>
      <c r="M125" s="328"/>
      <c r="N125" s="328"/>
      <c r="O125" s="328"/>
      <c r="P125" s="328"/>
      <c r="Q125" s="372"/>
      <c r="R125" s="373"/>
      <c r="S125" s="193"/>
    </row>
    <row r="126" spans="1:19">
      <c r="A126" s="202"/>
      <c r="B126" s="328"/>
      <c r="C126" s="328"/>
      <c r="D126" s="328"/>
      <c r="E126" s="328"/>
      <c r="F126" s="328"/>
      <c r="G126" s="328"/>
      <c r="H126" s="328"/>
      <c r="I126" s="328"/>
      <c r="J126" s="328"/>
      <c r="K126" s="328"/>
      <c r="L126" s="328"/>
      <c r="M126" s="328"/>
      <c r="N126" s="328"/>
      <c r="O126" s="328"/>
      <c r="P126" s="328"/>
      <c r="Q126" s="374"/>
      <c r="R126" s="328"/>
      <c r="S126" s="193"/>
    </row>
    <row r="127" spans="1:19">
      <c r="A127" s="202"/>
      <c r="B127" s="328"/>
      <c r="C127" s="328"/>
      <c r="D127" s="328"/>
      <c r="E127" s="328"/>
      <c r="F127" s="328"/>
      <c r="G127" s="328"/>
      <c r="H127" s="328"/>
      <c r="I127" s="328"/>
      <c r="J127" s="328"/>
      <c r="K127" s="328"/>
      <c r="L127" s="328"/>
      <c r="M127" s="328"/>
      <c r="N127" s="328"/>
      <c r="O127" s="328"/>
      <c r="P127" s="328"/>
      <c r="Q127" s="328"/>
      <c r="R127" s="328"/>
      <c r="S127" s="193"/>
    </row>
    <row r="128" spans="1:19">
      <c r="A128" s="202"/>
      <c r="B128" s="328"/>
      <c r="C128" s="328"/>
      <c r="D128" s="328"/>
      <c r="E128" s="328"/>
      <c r="F128" s="328"/>
      <c r="G128" s="328"/>
      <c r="H128" s="328"/>
      <c r="I128" s="560"/>
      <c r="J128" s="560"/>
      <c r="K128" s="373"/>
      <c r="L128" s="328"/>
      <c r="M128" s="328"/>
      <c r="N128" s="328"/>
      <c r="O128" s="328"/>
      <c r="P128" s="328"/>
      <c r="Q128" s="328"/>
      <c r="R128" s="328"/>
      <c r="S128" s="193"/>
    </row>
    <row r="129" spans="1:19">
      <c r="A129" s="202"/>
      <c r="B129" s="328"/>
      <c r="C129" s="328"/>
      <c r="D129" s="328"/>
      <c r="E129" s="328"/>
      <c r="F129" s="328"/>
      <c r="G129" s="328"/>
      <c r="H129" s="328"/>
      <c r="I129" s="560"/>
      <c r="J129" s="560"/>
      <c r="K129" s="373"/>
      <c r="L129" s="328"/>
      <c r="M129" s="328"/>
      <c r="N129" s="328"/>
      <c r="O129" s="328"/>
      <c r="P129" s="328"/>
      <c r="Q129" s="328"/>
      <c r="R129" s="328"/>
      <c r="S129" s="193"/>
    </row>
    <row r="130" spans="1:19">
      <c r="A130" s="202"/>
      <c r="B130" s="328"/>
      <c r="C130" s="328"/>
      <c r="D130" s="328"/>
      <c r="E130" s="328"/>
      <c r="F130" s="328"/>
      <c r="G130" s="328"/>
      <c r="H130" s="328"/>
      <c r="I130" s="368"/>
      <c r="J130" s="368"/>
      <c r="K130" s="373"/>
      <c r="L130" s="328"/>
      <c r="M130" s="328"/>
      <c r="N130" s="328"/>
      <c r="O130" s="328"/>
      <c r="P130" s="328"/>
      <c r="Q130" s="328"/>
      <c r="R130" s="328"/>
      <c r="S130" s="193"/>
    </row>
    <row r="131" spans="1:19">
      <c r="A131" s="202"/>
      <c r="B131" s="328"/>
      <c r="C131" s="328"/>
      <c r="D131" s="328"/>
      <c r="E131" s="328"/>
      <c r="F131" s="328"/>
      <c r="G131" s="328"/>
      <c r="H131" s="328"/>
      <c r="I131" s="560"/>
      <c r="J131" s="560"/>
      <c r="K131" s="373"/>
      <c r="L131" s="328"/>
      <c r="M131" s="328"/>
      <c r="N131" s="328"/>
      <c r="O131" s="328"/>
      <c r="P131" s="328"/>
      <c r="Q131" s="328"/>
      <c r="R131" s="328"/>
      <c r="S131" s="193"/>
    </row>
    <row r="132" spans="1:19">
      <c r="A132" s="202"/>
      <c r="B132" s="328"/>
      <c r="C132" s="328"/>
      <c r="D132" s="328"/>
      <c r="E132" s="328"/>
      <c r="F132" s="328"/>
      <c r="G132" s="328"/>
      <c r="H132" s="328"/>
      <c r="I132" s="560"/>
      <c r="J132" s="560"/>
      <c r="K132" s="373"/>
      <c r="L132" s="328"/>
      <c r="M132" s="328"/>
      <c r="N132" s="328"/>
      <c r="O132" s="328"/>
      <c r="P132" s="328"/>
      <c r="Q132" s="328"/>
      <c r="R132" s="328"/>
      <c r="S132" s="193"/>
    </row>
    <row r="133" spans="1:19">
      <c r="A133" s="202"/>
      <c r="B133" s="328"/>
      <c r="C133" s="328"/>
      <c r="D133" s="328"/>
      <c r="E133" s="328"/>
      <c r="F133" s="328"/>
      <c r="G133" s="328"/>
      <c r="H133" s="328"/>
      <c r="I133" s="328"/>
      <c r="J133" s="328"/>
      <c r="K133" s="328"/>
      <c r="L133" s="328"/>
      <c r="M133" s="328"/>
      <c r="N133" s="328"/>
      <c r="O133" s="328"/>
      <c r="P133" s="328"/>
      <c r="Q133" s="328"/>
      <c r="R133" s="328"/>
      <c r="S133" s="193"/>
    </row>
    <row r="134" spans="1:19">
      <c r="A134" s="202"/>
      <c r="B134" s="328"/>
      <c r="C134" s="328"/>
      <c r="D134" s="328"/>
      <c r="E134" s="328"/>
      <c r="F134" s="328"/>
      <c r="G134" s="328"/>
      <c r="H134" s="328"/>
      <c r="I134" s="328"/>
      <c r="J134" s="328"/>
      <c r="K134" s="328"/>
      <c r="L134" s="328"/>
      <c r="M134" s="328"/>
      <c r="N134" s="328"/>
      <c r="O134" s="328"/>
      <c r="P134" s="328"/>
      <c r="Q134" s="328"/>
      <c r="R134" s="328"/>
      <c r="S134" s="193"/>
    </row>
    <row r="135" spans="1:19" ht="16.5" thickBot="1">
      <c r="A135" s="202"/>
      <c r="B135" s="328"/>
      <c r="C135" s="328"/>
      <c r="D135" s="328"/>
      <c r="E135" s="328"/>
      <c r="F135" s="328"/>
      <c r="G135" s="328"/>
      <c r="H135" s="328"/>
      <c r="I135" s="560"/>
      <c r="J135" s="560"/>
      <c r="K135" s="329"/>
      <c r="L135" s="328"/>
      <c r="M135" s="328"/>
      <c r="N135" s="328"/>
      <c r="O135" s="328"/>
      <c r="P135" s="328"/>
      <c r="Q135" s="328"/>
      <c r="R135" s="328"/>
      <c r="S135" s="196"/>
    </row>
    <row r="136" spans="1:19">
      <c r="A136" s="202"/>
      <c r="B136" s="328"/>
      <c r="C136" s="328"/>
      <c r="D136" s="328"/>
      <c r="E136" s="328"/>
      <c r="F136" s="328"/>
      <c r="G136" s="328"/>
      <c r="H136" s="328"/>
      <c r="I136" s="368"/>
      <c r="J136" s="368"/>
      <c r="K136" s="329"/>
      <c r="L136" s="328"/>
      <c r="M136" s="328"/>
      <c r="N136" s="328"/>
      <c r="O136" s="328"/>
      <c r="P136" s="328"/>
      <c r="Q136" s="328"/>
      <c r="R136" s="328"/>
      <c r="S136" s="322"/>
    </row>
    <row r="137" spans="1:19">
      <c r="A137" s="202"/>
      <c r="B137" s="328"/>
      <c r="C137" s="328"/>
      <c r="D137" s="328"/>
      <c r="E137" s="328"/>
      <c r="F137" s="328"/>
      <c r="G137" s="328"/>
      <c r="H137" s="328"/>
      <c r="I137" s="560"/>
      <c r="J137" s="560"/>
      <c r="K137" s="329"/>
      <c r="L137" s="328"/>
      <c r="M137" s="328"/>
      <c r="N137" s="328"/>
      <c r="O137" s="328"/>
      <c r="P137" s="328"/>
      <c r="Q137" s="328"/>
      <c r="R137" s="328"/>
      <c r="S137" s="193"/>
    </row>
    <row r="138" spans="1:19">
      <c r="A138" s="202"/>
      <c r="B138" s="328"/>
      <c r="C138" s="328"/>
      <c r="D138" s="328"/>
      <c r="E138" s="328"/>
      <c r="F138" s="328"/>
      <c r="G138" s="328"/>
      <c r="H138" s="328"/>
      <c r="I138" s="328"/>
      <c r="J138" s="328"/>
      <c r="K138" s="328"/>
      <c r="L138" s="328"/>
      <c r="M138" s="328"/>
      <c r="N138" s="328"/>
      <c r="O138" s="328"/>
      <c r="P138" s="328"/>
      <c r="Q138" s="328"/>
      <c r="R138" s="328"/>
      <c r="S138" s="193"/>
    </row>
    <row r="139" spans="1:19">
      <c r="A139" s="202"/>
      <c r="B139" s="328"/>
      <c r="C139" s="328"/>
      <c r="D139" s="328"/>
      <c r="E139" s="328"/>
      <c r="F139" s="328"/>
      <c r="G139" s="328"/>
      <c r="H139" s="328"/>
      <c r="I139" s="328"/>
      <c r="J139" s="328"/>
      <c r="K139" s="328"/>
      <c r="L139" s="328"/>
      <c r="M139" s="328"/>
      <c r="N139" s="328"/>
      <c r="O139" s="328"/>
      <c r="P139" s="328"/>
      <c r="Q139" s="328"/>
      <c r="R139" s="328"/>
      <c r="S139" s="193"/>
    </row>
    <row r="140" spans="1:19">
      <c r="A140" s="202"/>
      <c r="B140" s="328"/>
      <c r="C140" s="328"/>
      <c r="D140" s="328"/>
      <c r="E140" s="328"/>
      <c r="F140" s="328"/>
      <c r="G140" s="328"/>
      <c r="H140" s="328"/>
      <c r="I140" s="328"/>
      <c r="J140" s="328"/>
      <c r="K140" s="328"/>
      <c r="L140" s="328"/>
      <c r="M140" s="328"/>
      <c r="N140" s="328"/>
      <c r="O140" s="328"/>
      <c r="P140" s="328"/>
      <c r="Q140" s="328"/>
      <c r="R140" s="328"/>
      <c r="S140" s="193"/>
    </row>
    <row r="141" spans="1:19">
      <c r="A141" s="202"/>
      <c r="B141" s="328"/>
      <c r="C141" s="328"/>
      <c r="D141" s="328"/>
      <c r="E141" s="328"/>
      <c r="F141" s="328"/>
      <c r="G141" s="328"/>
      <c r="H141" s="328"/>
      <c r="I141" s="328"/>
      <c r="J141" s="328"/>
      <c r="K141" s="328"/>
      <c r="L141" s="328"/>
      <c r="M141" s="328"/>
      <c r="N141" s="328"/>
      <c r="O141" s="328"/>
      <c r="P141" s="328"/>
      <c r="Q141" s="328"/>
      <c r="R141" s="328"/>
      <c r="S141" s="193"/>
    </row>
    <row r="142" spans="1:19">
      <c r="A142" s="202"/>
      <c r="B142" s="328"/>
      <c r="C142" s="328"/>
      <c r="D142" s="328"/>
      <c r="E142" s="328"/>
      <c r="F142" s="328"/>
      <c r="G142" s="328"/>
      <c r="H142" s="328"/>
      <c r="I142" s="328"/>
      <c r="J142" s="328"/>
      <c r="K142" s="328"/>
      <c r="L142" s="328"/>
      <c r="M142" s="328"/>
      <c r="N142" s="328"/>
      <c r="O142" s="328"/>
      <c r="P142" s="328"/>
      <c r="Q142" s="328"/>
      <c r="R142" s="328"/>
      <c r="S142" s="193"/>
    </row>
    <row r="143" spans="1:19">
      <c r="A143" s="202"/>
      <c r="B143" s="328"/>
      <c r="C143" s="328"/>
      <c r="D143" s="328"/>
      <c r="E143" s="328"/>
      <c r="F143" s="328"/>
      <c r="G143" s="328"/>
      <c r="H143" s="328"/>
      <c r="I143" s="328"/>
      <c r="J143" s="328"/>
      <c r="K143" s="328"/>
      <c r="L143" s="328"/>
      <c r="M143" s="328"/>
      <c r="N143" s="328"/>
      <c r="O143" s="328"/>
      <c r="P143" s="328"/>
      <c r="Q143" s="328"/>
      <c r="R143" s="328"/>
      <c r="S143" s="193"/>
    </row>
    <row r="144" spans="1:19">
      <c r="A144" s="202"/>
      <c r="B144" s="328"/>
      <c r="C144" s="328"/>
      <c r="D144" s="328"/>
      <c r="E144" s="328"/>
      <c r="F144" s="328"/>
      <c r="G144" s="328"/>
      <c r="H144" s="328"/>
      <c r="I144" s="328"/>
      <c r="J144" s="328"/>
      <c r="K144" s="328"/>
      <c r="L144" s="328"/>
      <c r="M144" s="328"/>
      <c r="N144" s="328"/>
      <c r="O144" s="328"/>
      <c r="P144" s="328"/>
      <c r="Q144" s="328"/>
      <c r="R144" s="328"/>
      <c r="S144" s="193"/>
    </row>
    <row r="145" spans="1:19">
      <c r="A145" s="202"/>
      <c r="B145" s="328"/>
      <c r="C145" s="328"/>
      <c r="D145" s="328"/>
      <c r="E145" s="328"/>
      <c r="F145" s="328"/>
      <c r="G145" s="328"/>
      <c r="H145" s="328"/>
      <c r="I145" s="328"/>
      <c r="J145" s="328"/>
      <c r="K145" s="328"/>
      <c r="L145" s="328"/>
      <c r="M145" s="328"/>
      <c r="N145" s="328"/>
      <c r="O145" s="328"/>
      <c r="P145" s="328"/>
      <c r="Q145" s="328"/>
      <c r="R145" s="328"/>
      <c r="S145" s="193"/>
    </row>
    <row r="146" spans="1:19">
      <c r="A146" s="202"/>
      <c r="B146" s="328"/>
      <c r="C146" s="328"/>
      <c r="D146" s="328"/>
      <c r="E146" s="328"/>
      <c r="F146" s="328"/>
      <c r="G146" s="328"/>
      <c r="H146" s="328"/>
      <c r="I146" s="328"/>
      <c r="J146" s="328"/>
      <c r="K146" s="328"/>
      <c r="L146" s="328"/>
      <c r="M146" s="328"/>
      <c r="N146" s="328"/>
      <c r="O146" s="328"/>
      <c r="P146" s="328"/>
      <c r="Q146" s="328"/>
      <c r="R146" s="328"/>
      <c r="S146" s="193"/>
    </row>
    <row r="147" spans="1:19">
      <c r="A147" s="202"/>
      <c r="B147" s="328"/>
      <c r="C147" s="328"/>
      <c r="D147" s="328"/>
      <c r="E147" s="328"/>
      <c r="F147" s="328"/>
      <c r="G147" s="328"/>
      <c r="H147" s="328"/>
      <c r="I147" s="328"/>
      <c r="J147" s="328"/>
      <c r="K147" s="328"/>
      <c r="L147" s="328"/>
      <c r="M147" s="328"/>
      <c r="N147" s="328"/>
      <c r="O147" s="328"/>
      <c r="P147" s="328"/>
      <c r="Q147" s="328"/>
      <c r="R147" s="328"/>
      <c r="S147" s="193"/>
    </row>
    <row r="148" spans="1:19">
      <c r="A148" s="202"/>
      <c r="B148" s="328"/>
      <c r="C148" s="328"/>
      <c r="D148" s="328"/>
      <c r="E148" s="328"/>
      <c r="F148" s="328"/>
      <c r="G148" s="328"/>
      <c r="H148" s="328"/>
      <c r="I148" s="328"/>
      <c r="J148" s="328"/>
      <c r="K148" s="328"/>
      <c r="L148" s="328"/>
      <c r="M148" s="328"/>
      <c r="N148" s="328"/>
      <c r="O148" s="328"/>
      <c r="P148" s="328"/>
      <c r="Q148" s="328"/>
      <c r="R148" s="328"/>
      <c r="S148" s="193"/>
    </row>
    <row r="149" spans="1:19">
      <c r="A149" s="202"/>
      <c r="B149" s="328"/>
      <c r="C149" s="328"/>
      <c r="D149" s="328"/>
      <c r="E149" s="328"/>
      <c r="F149" s="328"/>
      <c r="G149" s="328"/>
      <c r="H149" s="328"/>
      <c r="I149" s="328"/>
      <c r="J149" s="328"/>
      <c r="K149" s="328"/>
      <c r="L149" s="328"/>
      <c r="M149" s="328"/>
      <c r="N149" s="328"/>
      <c r="O149" s="328"/>
      <c r="P149" s="328"/>
      <c r="Q149" s="328"/>
      <c r="R149" s="328"/>
      <c r="S149" s="193"/>
    </row>
    <row r="150" spans="1:19">
      <c r="A150" s="202"/>
      <c r="B150" s="328"/>
      <c r="C150" s="328"/>
      <c r="D150" s="328"/>
      <c r="E150" s="328"/>
      <c r="F150" s="328"/>
      <c r="G150" s="328"/>
      <c r="H150" s="328"/>
      <c r="I150" s="328"/>
      <c r="J150" s="328"/>
      <c r="K150" s="328"/>
      <c r="L150" s="328"/>
      <c r="M150" s="328"/>
      <c r="N150" s="328"/>
      <c r="O150" s="328"/>
      <c r="P150" s="328"/>
      <c r="Q150" s="328"/>
      <c r="R150" s="328"/>
      <c r="S150" s="193"/>
    </row>
    <row r="151" spans="1:19">
      <c r="A151" s="202"/>
      <c r="B151" s="328"/>
      <c r="C151" s="328"/>
      <c r="D151" s="328"/>
      <c r="E151" s="328"/>
      <c r="F151" s="328"/>
      <c r="G151" s="328"/>
      <c r="H151" s="328"/>
      <c r="I151" s="328"/>
      <c r="J151" s="328"/>
      <c r="K151" s="328"/>
      <c r="L151" s="328"/>
      <c r="M151" s="328"/>
      <c r="N151" s="328"/>
      <c r="O151" s="328"/>
      <c r="P151" s="328"/>
      <c r="Q151" s="328"/>
      <c r="R151" s="328"/>
      <c r="S151" s="193"/>
    </row>
    <row r="152" spans="1:19" ht="16.5" thickBot="1">
      <c r="A152" s="202"/>
      <c r="B152" s="328"/>
      <c r="C152" s="328"/>
      <c r="D152" s="328"/>
      <c r="E152" s="328"/>
      <c r="F152" s="328"/>
      <c r="G152" s="328"/>
      <c r="H152" s="328"/>
      <c r="I152" s="328"/>
      <c r="J152" s="328"/>
      <c r="K152" s="328"/>
      <c r="L152" s="328"/>
      <c r="M152" s="328"/>
      <c r="N152" s="328"/>
      <c r="O152" s="328"/>
      <c r="P152" s="328"/>
      <c r="Q152" s="328"/>
      <c r="R152" s="328"/>
      <c r="S152" s="193"/>
    </row>
    <row r="153" spans="1:19" ht="16.5" thickBot="1">
      <c r="A153" s="198"/>
      <c r="B153" s="328"/>
      <c r="C153" s="328"/>
      <c r="D153" s="328"/>
      <c r="E153" s="328"/>
      <c r="F153" s="328"/>
      <c r="G153" s="328"/>
      <c r="H153" s="328"/>
      <c r="I153" s="328"/>
      <c r="J153" s="328"/>
      <c r="K153" s="328"/>
      <c r="L153" s="328"/>
      <c r="M153" s="328"/>
      <c r="N153" s="328"/>
      <c r="O153" s="328"/>
      <c r="P153" s="328"/>
      <c r="Q153" s="328"/>
      <c r="R153" s="328"/>
      <c r="S153" s="193"/>
    </row>
    <row r="154" spans="1:19">
      <c r="A154" s="202"/>
      <c r="B154" s="328"/>
      <c r="C154" s="328"/>
      <c r="D154" s="328"/>
      <c r="E154" s="328"/>
      <c r="F154" s="328"/>
      <c r="G154" s="328"/>
      <c r="H154" s="328"/>
      <c r="I154" s="328"/>
      <c r="J154" s="328"/>
      <c r="K154" s="328"/>
      <c r="L154" s="328"/>
      <c r="M154" s="328"/>
      <c r="N154" s="328"/>
      <c r="O154" s="328"/>
      <c r="P154" s="328"/>
      <c r="Q154" s="328"/>
      <c r="R154" s="328"/>
      <c r="S154" s="193"/>
    </row>
    <row r="155" spans="1:19">
      <c r="A155" s="202"/>
      <c r="B155" s="328"/>
      <c r="C155" s="328"/>
      <c r="D155" s="328"/>
      <c r="E155" s="328"/>
      <c r="F155" s="328"/>
      <c r="G155" s="328"/>
      <c r="H155" s="328"/>
      <c r="I155" s="328"/>
      <c r="J155" s="328"/>
      <c r="K155" s="328"/>
      <c r="L155" s="328"/>
      <c r="M155" s="328"/>
      <c r="N155" s="328"/>
      <c r="O155" s="328"/>
      <c r="P155" s="328"/>
      <c r="Q155" s="328"/>
      <c r="R155" s="328"/>
      <c r="S155" s="193"/>
    </row>
    <row r="156" spans="1:19">
      <c r="A156" s="202"/>
      <c r="B156" s="328"/>
      <c r="C156" s="328"/>
      <c r="D156" s="328"/>
      <c r="E156" s="328"/>
      <c r="F156" s="328"/>
      <c r="G156" s="328"/>
      <c r="H156" s="328"/>
      <c r="I156" s="560"/>
      <c r="J156" s="560"/>
      <c r="K156" s="368"/>
      <c r="L156" s="328"/>
      <c r="M156" s="328"/>
      <c r="N156" s="328"/>
      <c r="O156" s="328"/>
      <c r="P156" s="328"/>
      <c r="Q156" s="328"/>
      <c r="R156" s="328"/>
      <c r="S156" s="193"/>
    </row>
    <row r="157" spans="1:19">
      <c r="A157" s="202"/>
      <c r="B157" s="328"/>
      <c r="C157" s="328"/>
      <c r="D157" s="328"/>
      <c r="E157" s="328"/>
      <c r="F157" s="328"/>
      <c r="G157" s="328"/>
      <c r="H157" s="328"/>
      <c r="I157" s="560"/>
      <c r="J157" s="560"/>
      <c r="K157" s="368"/>
      <c r="L157" s="328"/>
      <c r="M157" s="328"/>
      <c r="N157" s="328"/>
      <c r="O157" s="328"/>
      <c r="P157" s="328"/>
      <c r="Q157" s="328"/>
      <c r="R157" s="328"/>
      <c r="S157" s="193"/>
    </row>
    <row r="158" spans="1:19">
      <c r="A158" s="202"/>
      <c r="B158" s="328"/>
      <c r="C158" s="328"/>
      <c r="D158" s="328"/>
      <c r="E158" s="328"/>
      <c r="F158" s="328"/>
      <c r="G158" s="328"/>
      <c r="H158" s="328"/>
      <c r="I158" s="368"/>
      <c r="J158" s="368"/>
      <c r="K158" s="328"/>
      <c r="L158" s="328"/>
      <c r="M158" s="328"/>
      <c r="N158" s="328"/>
      <c r="O158" s="328"/>
      <c r="P158" s="328"/>
      <c r="Q158" s="328"/>
      <c r="R158" s="328"/>
      <c r="S158" s="193"/>
    </row>
    <row r="159" spans="1:19">
      <c r="A159" s="202"/>
      <c r="B159" s="328"/>
      <c r="C159" s="328"/>
      <c r="D159" s="328"/>
      <c r="E159" s="328"/>
      <c r="F159" s="328"/>
      <c r="G159" s="328"/>
      <c r="H159" s="328"/>
      <c r="I159" s="560"/>
      <c r="J159" s="560"/>
      <c r="K159" s="329"/>
      <c r="L159" s="328"/>
      <c r="M159" s="328"/>
      <c r="N159" s="328"/>
      <c r="O159" s="328"/>
      <c r="P159" s="328"/>
      <c r="Q159" s="328"/>
      <c r="R159" s="328"/>
      <c r="S159" s="193"/>
    </row>
    <row r="160" spans="1:19">
      <c r="A160" s="202"/>
      <c r="B160" s="328"/>
      <c r="C160" s="328"/>
      <c r="D160" s="328"/>
      <c r="E160" s="328"/>
      <c r="F160" s="328"/>
      <c r="G160" s="328"/>
      <c r="H160" s="328"/>
      <c r="I160" s="560"/>
      <c r="J160" s="560"/>
      <c r="K160" s="329"/>
      <c r="L160" s="328"/>
      <c r="M160" s="328"/>
      <c r="N160" s="328"/>
      <c r="O160" s="328"/>
      <c r="P160" s="328"/>
      <c r="Q160" s="328"/>
      <c r="R160" s="328"/>
      <c r="S160" s="193"/>
    </row>
    <row r="161" spans="1:19">
      <c r="A161" s="202"/>
      <c r="B161" s="328"/>
      <c r="C161" s="328"/>
      <c r="D161" s="328"/>
      <c r="E161" s="328"/>
      <c r="F161" s="328"/>
      <c r="G161" s="328"/>
      <c r="H161" s="328"/>
      <c r="I161" s="328"/>
      <c r="J161" s="328"/>
      <c r="K161" s="329"/>
      <c r="L161" s="328"/>
      <c r="M161" s="328"/>
      <c r="N161" s="328"/>
      <c r="O161" s="328"/>
      <c r="P161" s="328"/>
      <c r="Q161" s="328"/>
      <c r="R161" s="328"/>
      <c r="S161" s="193"/>
    </row>
    <row r="162" spans="1:19">
      <c r="A162" s="202"/>
      <c r="B162" s="328"/>
      <c r="C162" s="328"/>
      <c r="D162" s="328"/>
      <c r="E162" s="328"/>
      <c r="F162" s="328"/>
      <c r="G162" s="328"/>
      <c r="H162" s="328"/>
      <c r="I162" s="328"/>
      <c r="J162" s="328"/>
      <c r="K162" s="329"/>
      <c r="L162" s="328"/>
      <c r="M162" s="328"/>
      <c r="N162" s="328"/>
      <c r="O162" s="328"/>
      <c r="P162" s="328"/>
      <c r="Q162" s="328"/>
      <c r="R162" s="328"/>
      <c r="S162" s="193"/>
    </row>
    <row r="163" spans="1:19">
      <c r="A163" s="202"/>
      <c r="B163" s="328"/>
      <c r="C163" s="328"/>
      <c r="D163" s="328"/>
      <c r="E163" s="328"/>
      <c r="F163" s="328"/>
      <c r="G163" s="328"/>
      <c r="H163" s="328"/>
      <c r="I163" s="560"/>
      <c r="J163" s="560"/>
      <c r="K163" s="329"/>
      <c r="L163" s="328"/>
      <c r="M163" s="328"/>
      <c r="N163" s="328"/>
      <c r="O163" s="328"/>
      <c r="P163" s="328"/>
      <c r="Q163" s="328"/>
      <c r="R163" s="328"/>
      <c r="S163" s="193"/>
    </row>
    <row r="164" spans="1:19">
      <c r="A164" s="202"/>
      <c r="B164" s="328"/>
      <c r="C164" s="328"/>
      <c r="D164" s="328"/>
      <c r="E164" s="328"/>
      <c r="F164" s="328"/>
      <c r="G164" s="328"/>
      <c r="H164" s="328"/>
      <c r="I164" s="368"/>
      <c r="J164" s="368"/>
      <c r="K164" s="329"/>
      <c r="L164" s="328"/>
      <c r="M164" s="328"/>
      <c r="N164" s="328"/>
      <c r="O164" s="328"/>
      <c r="P164" s="328"/>
      <c r="Q164" s="328"/>
      <c r="R164" s="328"/>
      <c r="S164" s="193"/>
    </row>
    <row r="165" spans="1:19">
      <c r="A165" s="202"/>
      <c r="B165" s="328"/>
      <c r="C165" s="328"/>
      <c r="D165" s="328"/>
      <c r="E165" s="328"/>
      <c r="F165" s="328"/>
      <c r="G165" s="328"/>
      <c r="H165" s="328"/>
      <c r="I165" s="560"/>
      <c r="J165" s="560"/>
      <c r="K165" s="329"/>
      <c r="L165" s="328"/>
      <c r="M165" s="328"/>
      <c r="N165" s="328"/>
      <c r="O165" s="328"/>
      <c r="P165" s="328"/>
      <c r="Q165" s="328"/>
      <c r="R165" s="328"/>
      <c r="S165" s="193"/>
    </row>
    <row r="166" spans="1:19">
      <c r="A166" s="202"/>
      <c r="B166" s="328"/>
      <c r="C166" s="328"/>
      <c r="D166" s="328"/>
      <c r="E166" s="328"/>
      <c r="F166" s="328"/>
      <c r="G166" s="328"/>
      <c r="H166" s="328"/>
      <c r="I166" s="328"/>
      <c r="J166" s="328"/>
      <c r="K166" s="328"/>
      <c r="L166" s="328"/>
      <c r="M166" s="328"/>
      <c r="N166" s="328"/>
      <c r="O166" s="328"/>
      <c r="P166" s="328"/>
      <c r="Q166" s="328"/>
      <c r="R166" s="328"/>
      <c r="S166" s="193"/>
    </row>
    <row r="167" spans="1:19">
      <c r="A167" s="202"/>
      <c r="B167" s="328"/>
      <c r="C167" s="328"/>
      <c r="D167" s="328"/>
      <c r="E167" s="328"/>
      <c r="F167" s="328"/>
      <c r="G167" s="328"/>
      <c r="H167" s="328"/>
      <c r="I167" s="328"/>
      <c r="J167" s="328"/>
      <c r="K167" s="328"/>
      <c r="L167" s="328"/>
      <c r="M167" s="328"/>
      <c r="N167" s="328"/>
      <c r="O167" s="328"/>
      <c r="P167" s="328"/>
      <c r="Q167" s="328"/>
      <c r="R167" s="328"/>
      <c r="S167" s="193"/>
    </row>
    <row r="168" spans="1:19">
      <c r="A168" s="202"/>
      <c r="B168" s="328"/>
      <c r="C168" s="328"/>
      <c r="D168" s="328"/>
      <c r="E168" s="328"/>
      <c r="F168" s="328"/>
      <c r="G168" s="328"/>
      <c r="H168" s="328"/>
      <c r="I168" s="328"/>
      <c r="J168" s="328"/>
      <c r="K168" s="328"/>
      <c r="L168" s="328"/>
      <c r="M168" s="328"/>
      <c r="N168" s="328"/>
      <c r="O168" s="328"/>
      <c r="P168" s="328"/>
      <c r="Q168" s="328"/>
      <c r="R168" s="328"/>
      <c r="S168" s="193"/>
    </row>
    <row r="169" spans="1:19">
      <c r="A169" s="202"/>
      <c r="B169" s="328"/>
      <c r="C169" s="328"/>
      <c r="D169" s="328"/>
      <c r="E169" s="328"/>
      <c r="F169" s="328"/>
      <c r="G169" s="328"/>
      <c r="H169" s="328"/>
      <c r="I169" s="328"/>
      <c r="J169" s="328"/>
      <c r="K169" s="328"/>
      <c r="L169" s="328"/>
      <c r="M169" s="328"/>
      <c r="N169" s="328"/>
      <c r="O169" s="328"/>
      <c r="P169" s="328"/>
      <c r="Q169" s="328"/>
      <c r="R169" s="328"/>
      <c r="S169" s="193"/>
    </row>
    <row r="170" spans="1:19">
      <c r="A170" s="202"/>
      <c r="B170" s="328"/>
      <c r="C170" s="328"/>
      <c r="D170" s="328"/>
      <c r="E170" s="328"/>
      <c r="F170" s="328"/>
      <c r="G170" s="328"/>
      <c r="H170" s="328"/>
      <c r="I170" s="328"/>
      <c r="J170" s="328"/>
      <c r="K170" s="328"/>
      <c r="L170" s="328"/>
      <c r="M170" s="328"/>
      <c r="N170" s="328"/>
      <c r="O170" s="328"/>
      <c r="P170" s="328"/>
      <c r="Q170" s="328"/>
      <c r="R170" s="328"/>
      <c r="S170" s="193"/>
    </row>
    <row r="171" spans="1:19">
      <c r="A171" s="202"/>
      <c r="B171" s="328"/>
      <c r="C171" s="328"/>
      <c r="D171" s="328"/>
      <c r="E171" s="328"/>
      <c r="F171" s="328"/>
      <c r="G171" s="328"/>
      <c r="H171" s="328"/>
      <c r="I171" s="328"/>
      <c r="J171" s="328"/>
      <c r="K171" s="328"/>
      <c r="L171" s="328"/>
      <c r="M171" s="328"/>
      <c r="N171" s="328"/>
      <c r="O171" s="328"/>
      <c r="P171" s="328"/>
      <c r="Q171" s="328"/>
      <c r="R171" s="328"/>
      <c r="S171" s="193"/>
    </row>
    <row r="172" spans="1:19">
      <c r="A172" s="202"/>
      <c r="B172" s="328"/>
      <c r="C172" s="328"/>
      <c r="D172" s="328"/>
      <c r="E172" s="328"/>
      <c r="F172" s="328"/>
      <c r="G172" s="328"/>
      <c r="H172" s="328"/>
      <c r="I172" s="328"/>
      <c r="J172" s="328"/>
      <c r="K172" s="328"/>
      <c r="L172" s="328"/>
      <c r="M172" s="328"/>
      <c r="N172" s="328"/>
      <c r="O172" s="328"/>
      <c r="P172" s="328"/>
      <c r="Q172" s="328"/>
      <c r="R172" s="328"/>
      <c r="S172" s="193"/>
    </row>
    <row r="173" spans="1:19">
      <c r="A173" s="202"/>
      <c r="B173" s="328"/>
      <c r="C173" s="328"/>
      <c r="D173" s="328"/>
      <c r="E173" s="328"/>
      <c r="F173" s="328"/>
      <c r="G173" s="328"/>
      <c r="H173" s="328"/>
      <c r="I173" s="328"/>
      <c r="J173" s="328"/>
      <c r="K173" s="328"/>
      <c r="L173" s="328"/>
      <c r="M173" s="328"/>
      <c r="N173" s="328"/>
      <c r="O173" s="328"/>
      <c r="P173" s="328"/>
      <c r="Q173" s="328"/>
      <c r="R173" s="328"/>
      <c r="S173" s="193"/>
    </row>
    <row r="174" spans="1:19">
      <c r="A174" s="202"/>
      <c r="B174" s="328"/>
      <c r="C174" s="328"/>
      <c r="D174" s="328"/>
      <c r="E174" s="328"/>
      <c r="F174" s="328"/>
      <c r="G174" s="328"/>
      <c r="H174" s="328"/>
      <c r="I174" s="328"/>
      <c r="J174" s="328"/>
      <c r="K174" s="328"/>
      <c r="L174" s="328"/>
      <c r="M174" s="328"/>
      <c r="N174" s="328"/>
      <c r="O174" s="328"/>
      <c r="P174" s="328"/>
      <c r="Q174" s="328"/>
      <c r="R174" s="328"/>
      <c r="S174" s="193"/>
    </row>
    <row r="175" spans="1:19">
      <c r="A175" s="202"/>
      <c r="B175" s="328"/>
      <c r="C175" s="328"/>
      <c r="D175" s="328"/>
      <c r="E175" s="328"/>
      <c r="F175" s="328"/>
      <c r="G175" s="328"/>
      <c r="H175" s="328"/>
      <c r="I175" s="328"/>
      <c r="J175" s="328"/>
      <c r="K175" s="328"/>
      <c r="L175" s="328"/>
      <c r="M175" s="328"/>
      <c r="N175" s="328"/>
      <c r="O175" s="328"/>
      <c r="P175" s="328"/>
      <c r="Q175" s="328"/>
      <c r="R175" s="328"/>
      <c r="S175" s="193"/>
    </row>
    <row r="176" spans="1:19">
      <c r="A176" s="202"/>
      <c r="B176" s="328"/>
      <c r="C176" s="328"/>
      <c r="D176" s="328"/>
      <c r="E176" s="328"/>
      <c r="F176" s="328"/>
      <c r="G176" s="328"/>
      <c r="H176" s="328"/>
      <c r="I176" s="328"/>
      <c r="J176" s="328"/>
      <c r="K176" s="328"/>
      <c r="L176" s="328"/>
      <c r="M176" s="328"/>
      <c r="N176" s="328"/>
      <c r="O176" s="328"/>
      <c r="P176" s="328"/>
      <c r="Q176" s="328"/>
      <c r="R176" s="328"/>
      <c r="S176" s="193"/>
    </row>
    <row r="177" spans="1:19">
      <c r="A177" s="202"/>
      <c r="B177" s="328"/>
      <c r="C177" s="328"/>
      <c r="D177" s="328"/>
      <c r="E177" s="328"/>
      <c r="F177" s="328"/>
      <c r="G177" s="328"/>
      <c r="H177" s="328"/>
      <c r="I177" s="328"/>
      <c r="J177" s="328"/>
      <c r="K177" s="328"/>
      <c r="L177" s="328"/>
      <c r="M177" s="328"/>
      <c r="N177" s="328"/>
      <c r="O177" s="328"/>
      <c r="P177" s="328"/>
      <c r="Q177" s="328"/>
      <c r="R177" s="328"/>
      <c r="S177" s="193"/>
    </row>
    <row r="178" spans="1:19">
      <c r="A178" s="202"/>
      <c r="B178" s="328"/>
      <c r="C178" s="328"/>
      <c r="D178" s="328"/>
      <c r="E178" s="328"/>
      <c r="F178" s="328"/>
      <c r="G178" s="328"/>
      <c r="H178" s="328"/>
      <c r="I178" s="328"/>
      <c r="J178" s="328"/>
      <c r="K178" s="328"/>
      <c r="L178" s="328"/>
      <c r="M178" s="328"/>
      <c r="N178" s="328"/>
      <c r="O178" s="328"/>
      <c r="P178" s="328"/>
      <c r="Q178" s="328"/>
      <c r="R178" s="328"/>
      <c r="S178" s="193"/>
    </row>
    <row r="179" spans="1:19">
      <c r="A179" s="202"/>
      <c r="B179" s="328"/>
      <c r="C179" s="328"/>
      <c r="D179" s="328"/>
      <c r="E179" s="328"/>
      <c r="F179" s="328"/>
      <c r="G179" s="328"/>
      <c r="H179" s="328"/>
      <c r="I179" s="328"/>
      <c r="J179" s="328"/>
      <c r="K179" s="328"/>
      <c r="L179" s="328"/>
      <c r="M179" s="328"/>
      <c r="N179" s="328"/>
      <c r="O179" s="328"/>
      <c r="P179" s="328"/>
      <c r="Q179" s="328"/>
      <c r="R179" s="328"/>
      <c r="S179" s="193"/>
    </row>
    <row r="180" spans="1:19">
      <c r="A180" s="202"/>
      <c r="B180" s="328"/>
      <c r="C180" s="328"/>
      <c r="D180" s="328"/>
      <c r="E180" s="328"/>
      <c r="F180" s="328"/>
      <c r="G180" s="328"/>
      <c r="H180" s="328"/>
      <c r="I180" s="328"/>
      <c r="J180" s="328"/>
      <c r="K180" s="328"/>
      <c r="L180" s="328"/>
      <c r="M180" s="328"/>
      <c r="N180" s="328"/>
      <c r="O180" s="328"/>
      <c r="P180" s="328"/>
      <c r="Q180" s="328"/>
      <c r="R180" s="328"/>
      <c r="S180" s="193"/>
    </row>
    <row r="181" spans="1:19">
      <c r="A181" s="202"/>
      <c r="B181" s="328"/>
      <c r="C181" s="328"/>
      <c r="D181" s="328"/>
      <c r="E181" s="328"/>
      <c r="F181" s="328"/>
      <c r="G181" s="328"/>
      <c r="H181" s="328"/>
      <c r="I181" s="328"/>
      <c r="J181" s="328"/>
      <c r="K181" s="328"/>
      <c r="L181" s="328"/>
      <c r="M181" s="328"/>
      <c r="N181" s="328"/>
      <c r="O181" s="328"/>
      <c r="P181" s="328"/>
      <c r="Q181" s="328"/>
      <c r="R181" s="328"/>
      <c r="S181" s="193"/>
    </row>
    <row r="182" spans="1:19">
      <c r="A182" s="202"/>
      <c r="B182" s="328"/>
      <c r="C182" s="328"/>
      <c r="D182" s="328"/>
      <c r="E182" s="328"/>
      <c r="F182" s="328"/>
      <c r="G182" s="328"/>
      <c r="H182" s="328"/>
      <c r="I182" s="328"/>
      <c r="J182" s="328"/>
      <c r="K182" s="328"/>
      <c r="L182" s="328"/>
      <c r="M182" s="328"/>
      <c r="N182" s="328"/>
      <c r="O182" s="328"/>
      <c r="P182" s="328"/>
      <c r="Q182" s="328"/>
      <c r="R182" s="328"/>
      <c r="S182" s="193"/>
    </row>
    <row r="183" spans="1:19">
      <c r="A183" s="202"/>
      <c r="B183" s="328"/>
      <c r="C183" s="328"/>
      <c r="D183" s="328"/>
      <c r="E183" s="328"/>
      <c r="F183" s="328"/>
      <c r="G183" s="328"/>
      <c r="H183" s="328"/>
      <c r="I183" s="328"/>
      <c r="J183" s="328"/>
      <c r="K183" s="328"/>
      <c r="L183" s="328"/>
      <c r="M183" s="328"/>
      <c r="N183" s="328"/>
      <c r="O183" s="328"/>
      <c r="P183" s="328"/>
      <c r="Q183" s="328"/>
      <c r="R183" s="328"/>
      <c r="S183" s="193"/>
    </row>
    <row r="184" spans="1:19">
      <c r="A184" s="202"/>
      <c r="B184" s="328"/>
      <c r="C184" s="328"/>
      <c r="D184" s="328"/>
      <c r="E184" s="328"/>
      <c r="F184" s="328"/>
      <c r="G184" s="328"/>
      <c r="H184" s="328"/>
      <c r="I184" s="328"/>
      <c r="J184" s="328"/>
      <c r="K184" s="328"/>
      <c r="L184" s="328"/>
      <c r="M184" s="328"/>
      <c r="N184" s="328"/>
      <c r="O184" s="328"/>
      <c r="P184" s="328"/>
      <c r="Q184" s="374"/>
      <c r="R184" s="329"/>
      <c r="S184" s="193"/>
    </row>
    <row r="185" spans="1:19">
      <c r="A185" s="202"/>
      <c r="B185" s="328"/>
      <c r="C185" s="328"/>
      <c r="D185" s="328"/>
      <c r="E185" s="328"/>
      <c r="F185" s="328"/>
      <c r="G185" s="328"/>
      <c r="H185" s="328"/>
      <c r="I185" s="328"/>
      <c r="J185" s="328"/>
      <c r="K185" s="328"/>
      <c r="L185" s="328"/>
      <c r="M185" s="328"/>
      <c r="N185" s="328"/>
      <c r="O185" s="328"/>
      <c r="P185" s="328"/>
      <c r="Q185" s="368"/>
      <c r="R185" s="328"/>
      <c r="S185" s="193"/>
    </row>
    <row r="186" spans="1:19">
      <c r="A186" s="202"/>
      <c r="B186" s="328"/>
      <c r="C186" s="328"/>
      <c r="D186" s="328"/>
      <c r="E186" s="328"/>
      <c r="F186" s="328"/>
      <c r="G186" s="328"/>
      <c r="H186" s="328"/>
      <c r="I186" s="328"/>
      <c r="J186" s="328"/>
      <c r="K186" s="328"/>
      <c r="L186" s="328"/>
      <c r="M186" s="328"/>
      <c r="N186" s="328"/>
      <c r="O186" s="328"/>
      <c r="P186" s="328"/>
      <c r="Q186" s="328"/>
      <c r="R186" s="328"/>
      <c r="S186" s="193"/>
    </row>
    <row r="187" spans="1:19">
      <c r="A187" s="202"/>
      <c r="B187" s="586"/>
      <c r="C187" s="586"/>
      <c r="D187" s="586"/>
      <c r="E187" s="586"/>
      <c r="F187" s="586"/>
      <c r="G187" s="586"/>
      <c r="H187" s="586"/>
      <c r="I187" s="368"/>
      <c r="J187" s="355"/>
      <c r="K187" s="368"/>
      <c r="L187" s="328"/>
      <c r="M187" s="328"/>
      <c r="N187" s="328"/>
      <c r="O187" s="328"/>
      <c r="P187" s="328"/>
      <c r="Q187" s="328"/>
      <c r="R187" s="328"/>
      <c r="S187" s="193"/>
    </row>
    <row r="188" spans="1:19">
      <c r="A188" s="202"/>
      <c r="B188" s="586"/>
      <c r="C188" s="586"/>
      <c r="D188" s="330"/>
      <c r="E188" s="330"/>
      <c r="F188" s="375"/>
      <c r="G188" s="373"/>
      <c r="H188" s="330"/>
      <c r="I188" s="368"/>
      <c r="J188" s="355"/>
      <c r="K188" s="368"/>
      <c r="L188" s="328"/>
      <c r="M188" s="328"/>
      <c r="N188" s="328"/>
      <c r="O188" s="328"/>
      <c r="P188" s="328"/>
      <c r="Q188" s="328"/>
      <c r="R188" s="328"/>
      <c r="S188" s="193"/>
    </row>
    <row r="189" spans="1:19">
      <c r="A189" s="202"/>
      <c r="B189" s="586"/>
      <c r="C189" s="586"/>
      <c r="D189" s="373"/>
      <c r="E189" s="373"/>
      <c r="F189" s="373"/>
      <c r="G189" s="373"/>
      <c r="H189" s="330"/>
      <c r="I189" s="328"/>
      <c r="J189" s="328"/>
      <c r="K189" s="328"/>
      <c r="L189" s="328"/>
      <c r="M189" s="328"/>
      <c r="N189" s="328"/>
      <c r="O189" s="328"/>
      <c r="P189" s="328"/>
      <c r="Q189" s="328"/>
      <c r="R189" s="328"/>
      <c r="S189" s="193"/>
    </row>
    <row r="190" spans="1:19">
      <c r="A190" s="202"/>
      <c r="B190" s="586"/>
      <c r="C190" s="586"/>
      <c r="D190" s="373"/>
      <c r="E190" s="373"/>
      <c r="F190" s="373"/>
      <c r="G190" s="373"/>
      <c r="H190" s="330"/>
      <c r="I190" s="328"/>
      <c r="J190" s="328"/>
      <c r="K190" s="328"/>
      <c r="L190" s="328"/>
      <c r="M190" s="328"/>
      <c r="N190" s="328"/>
      <c r="O190" s="328"/>
      <c r="P190" s="328"/>
      <c r="Q190" s="328"/>
      <c r="R190" s="328"/>
      <c r="S190" s="193"/>
    </row>
    <row r="191" spans="1:19">
      <c r="A191" s="202"/>
      <c r="B191" s="586"/>
      <c r="C191" s="586"/>
      <c r="D191" s="373"/>
      <c r="E191" s="373"/>
      <c r="F191" s="373"/>
      <c r="G191" s="373"/>
      <c r="H191" s="330"/>
      <c r="I191" s="328"/>
      <c r="J191" s="328"/>
      <c r="K191" s="328"/>
      <c r="L191" s="328"/>
      <c r="M191" s="328"/>
      <c r="N191" s="328"/>
      <c r="O191" s="328"/>
      <c r="P191" s="328"/>
      <c r="Q191" s="328"/>
      <c r="R191" s="328"/>
      <c r="S191" s="193"/>
    </row>
    <row r="192" spans="1:19">
      <c r="A192" s="202"/>
      <c r="B192" s="328"/>
      <c r="C192" s="368"/>
      <c r="D192" s="355"/>
      <c r="E192" s="329"/>
      <c r="F192" s="328"/>
      <c r="G192" s="328"/>
      <c r="H192" s="328"/>
      <c r="I192" s="328"/>
      <c r="J192" s="328"/>
      <c r="K192" s="328"/>
      <c r="L192" s="328"/>
      <c r="M192" s="328"/>
      <c r="N192" s="328"/>
      <c r="O192" s="328"/>
      <c r="P192" s="328"/>
      <c r="Q192" s="328"/>
      <c r="R192" s="328"/>
      <c r="S192" s="193"/>
    </row>
    <row r="193" spans="1:19">
      <c r="A193" s="202"/>
      <c r="B193" s="328"/>
      <c r="C193" s="368"/>
      <c r="D193" s="355"/>
      <c r="E193" s="329"/>
      <c r="F193" s="328"/>
      <c r="G193" s="328"/>
      <c r="H193" s="328"/>
      <c r="I193" s="328"/>
      <c r="J193" s="328"/>
      <c r="K193" s="328"/>
      <c r="L193" s="328"/>
      <c r="M193" s="328"/>
      <c r="N193" s="328"/>
      <c r="O193" s="328"/>
      <c r="P193" s="328"/>
      <c r="Q193" s="328"/>
      <c r="R193" s="328"/>
      <c r="S193" s="193"/>
    </row>
    <row r="194" spans="1:19">
      <c r="A194" s="202"/>
      <c r="B194" s="328"/>
      <c r="C194" s="368"/>
      <c r="D194" s="355"/>
      <c r="E194" s="329"/>
      <c r="F194" s="328"/>
      <c r="G194" s="328"/>
      <c r="H194" s="328"/>
      <c r="I194" s="328"/>
      <c r="J194" s="328"/>
      <c r="K194" s="328"/>
      <c r="L194" s="328"/>
      <c r="M194" s="328"/>
      <c r="N194" s="328"/>
      <c r="O194" s="328"/>
      <c r="P194" s="328"/>
      <c r="Q194" s="328"/>
      <c r="R194" s="328"/>
      <c r="S194" s="193"/>
    </row>
    <row r="195" spans="1:19">
      <c r="A195" s="202"/>
      <c r="B195" s="328"/>
      <c r="C195" s="368"/>
      <c r="D195" s="355"/>
      <c r="E195" s="329"/>
      <c r="F195" s="328"/>
      <c r="G195" s="328"/>
      <c r="H195" s="328"/>
      <c r="I195" s="328"/>
      <c r="J195" s="328"/>
      <c r="K195" s="328"/>
      <c r="L195" s="328"/>
      <c r="M195" s="328"/>
      <c r="N195" s="328"/>
      <c r="O195" s="328"/>
      <c r="P195" s="328"/>
      <c r="Q195" s="328"/>
      <c r="R195" s="328"/>
      <c r="S195" s="193"/>
    </row>
    <row r="196" spans="1:19">
      <c r="A196" s="202"/>
      <c r="B196" s="328"/>
      <c r="C196" s="328"/>
      <c r="D196" s="328"/>
      <c r="E196" s="328"/>
      <c r="F196" s="328"/>
      <c r="G196" s="328"/>
      <c r="H196" s="328"/>
      <c r="I196" s="328"/>
      <c r="J196" s="328"/>
      <c r="K196" s="328"/>
      <c r="L196" s="328"/>
      <c r="M196" s="328"/>
      <c r="N196" s="328"/>
      <c r="O196" s="328"/>
      <c r="P196" s="328"/>
      <c r="Q196" s="328"/>
      <c r="R196" s="328"/>
      <c r="S196" s="193"/>
    </row>
    <row r="197" spans="1:19">
      <c r="A197" s="202"/>
      <c r="B197" s="328"/>
      <c r="C197" s="328"/>
      <c r="D197" s="328"/>
      <c r="E197" s="328"/>
      <c r="F197" s="328"/>
      <c r="G197" s="328"/>
      <c r="H197" s="328"/>
      <c r="I197" s="328"/>
      <c r="J197" s="328"/>
      <c r="K197" s="328"/>
      <c r="L197" s="328"/>
      <c r="M197" s="328"/>
      <c r="N197" s="328"/>
      <c r="O197" s="328"/>
      <c r="P197" s="328"/>
      <c r="Q197" s="328"/>
      <c r="R197" s="328"/>
      <c r="S197" s="193"/>
    </row>
    <row r="198" spans="1:19">
      <c r="A198" s="202"/>
      <c r="B198" s="328"/>
      <c r="C198" s="328"/>
      <c r="D198" s="328"/>
      <c r="E198" s="328"/>
      <c r="F198" s="328"/>
      <c r="G198" s="328"/>
      <c r="H198" s="328"/>
      <c r="I198" s="328"/>
      <c r="J198" s="328"/>
      <c r="K198" s="328"/>
      <c r="L198" s="328"/>
      <c r="M198" s="328"/>
      <c r="N198" s="328"/>
      <c r="O198" s="328"/>
      <c r="P198" s="328"/>
      <c r="Q198" s="368"/>
      <c r="R198" s="329"/>
      <c r="S198" s="193"/>
    </row>
    <row r="199" spans="1:19">
      <c r="A199" s="202"/>
      <c r="B199" s="328"/>
      <c r="C199" s="328"/>
      <c r="D199" s="328"/>
      <c r="E199" s="328"/>
      <c r="F199" s="328"/>
      <c r="G199" s="328"/>
      <c r="H199" s="328"/>
      <c r="I199" s="328"/>
      <c r="J199" s="328"/>
      <c r="K199" s="328"/>
      <c r="L199" s="328"/>
      <c r="M199" s="328"/>
      <c r="N199" s="328"/>
      <c r="O199" s="328"/>
      <c r="P199" s="328"/>
      <c r="Q199" s="328"/>
      <c r="R199" s="328"/>
      <c r="S199" s="193"/>
    </row>
    <row r="200" spans="1:19">
      <c r="A200" s="202"/>
      <c r="B200" s="328"/>
      <c r="C200" s="328"/>
      <c r="D200" s="328"/>
      <c r="E200" s="328"/>
      <c r="F200" s="328"/>
      <c r="G200" s="328"/>
      <c r="H200" s="328"/>
      <c r="I200" s="328"/>
      <c r="J200" s="328"/>
      <c r="K200" s="328"/>
      <c r="L200" s="328"/>
      <c r="M200" s="328"/>
      <c r="N200" s="328"/>
      <c r="O200" s="328"/>
      <c r="P200" s="328"/>
      <c r="Q200" s="328"/>
      <c r="R200" s="328"/>
      <c r="S200" s="193"/>
    </row>
    <row r="201" spans="1:19">
      <c r="A201" s="202"/>
      <c r="B201" s="328"/>
      <c r="C201" s="328"/>
      <c r="D201" s="328"/>
      <c r="E201" s="328"/>
      <c r="F201" s="328"/>
      <c r="G201" s="328"/>
      <c r="H201" s="328"/>
      <c r="I201" s="328"/>
      <c r="J201" s="328"/>
      <c r="K201" s="328"/>
      <c r="L201" s="328"/>
      <c r="M201" s="328"/>
      <c r="N201" s="328"/>
      <c r="O201" s="328"/>
      <c r="P201" s="328"/>
      <c r="Q201" s="328"/>
      <c r="R201" s="328"/>
      <c r="S201" s="193"/>
    </row>
    <row r="202" spans="1:19">
      <c r="A202" s="202"/>
      <c r="B202" s="328"/>
      <c r="C202" s="328"/>
      <c r="D202" s="328"/>
      <c r="E202" s="328"/>
      <c r="F202" s="328"/>
      <c r="G202" s="328"/>
      <c r="H202" s="328"/>
      <c r="I202" s="328"/>
      <c r="J202" s="328"/>
      <c r="K202" s="328"/>
      <c r="L202" s="328"/>
      <c r="M202" s="328"/>
      <c r="N202" s="328"/>
      <c r="O202" s="328"/>
      <c r="P202" s="328"/>
      <c r="Q202" s="328"/>
      <c r="R202" s="328"/>
      <c r="S202" s="193"/>
    </row>
    <row r="203" spans="1:19">
      <c r="A203" s="202"/>
      <c r="B203" s="328"/>
      <c r="C203" s="328"/>
      <c r="D203" s="328"/>
      <c r="E203" s="328"/>
      <c r="F203" s="328"/>
      <c r="G203" s="328"/>
      <c r="H203" s="328"/>
      <c r="I203" s="328"/>
      <c r="J203" s="368"/>
      <c r="K203" s="355"/>
      <c r="L203" s="355"/>
      <c r="M203" s="328"/>
      <c r="N203" s="328"/>
      <c r="O203" s="328"/>
      <c r="P203" s="328"/>
      <c r="Q203" s="328"/>
      <c r="R203" s="328"/>
      <c r="S203" s="193"/>
    </row>
    <row r="204" spans="1:19">
      <c r="A204" s="202"/>
      <c r="B204" s="328"/>
      <c r="C204" s="328"/>
      <c r="D204" s="328"/>
      <c r="E204" s="328"/>
      <c r="F204" s="328"/>
      <c r="G204" s="328"/>
      <c r="H204" s="328"/>
      <c r="I204" s="328"/>
      <c r="J204" s="368"/>
      <c r="K204" s="355"/>
      <c r="L204" s="328"/>
      <c r="M204" s="328"/>
      <c r="N204" s="328"/>
      <c r="O204" s="328"/>
      <c r="P204" s="328"/>
      <c r="Q204" s="328"/>
      <c r="R204" s="328"/>
      <c r="S204" s="193"/>
    </row>
    <row r="205" spans="1:19">
      <c r="A205" s="202"/>
      <c r="B205" s="328"/>
      <c r="C205" s="328"/>
      <c r="D205" s="328"/>
      <c r="E205" s="328"/>
      <c r="F205" s="328"/>
      <c r="G205" s="328"/>
      <c r="H205" s="328"/>
      <c r="I205" s="328"/>
      <c r="J205" s="328"/>
      <c r="K205" s="328"/>
      <c r="L205" s="328"/>
      <c r="M205" s="328"/>
      <c r="N205" s="328"/>
      <c r="O205" s="328"/>
      <c r="P205" s="328"/>
      <c r="Q205" s="328"/>
      <c r="R205" s="328"/>
      <c r="S205" s="193"/>
    </row>
    <row r="206" spans="1:19">
      <c r="A206" s="202"/>
      <c r="B206" s="328"/>
      <c r="C206" s="328"/>
      <c r="D206" s="328"/>
      <c r="E206" s="328"/>
      <c r="F206" s="328"/>
      <c r="G206" s="328"/>
      <c r="H206" s="328"/>
      <c r="I206" s="328"/>
      <c r="J206" s="328"/>
      <c r="K206" s="328"/>
      <c r="L206" s="328"/>
      <c r="M206" s="328"/>
      <c r="N206" s="328"/>
      <c r="O206" s="328"/>
      <c r="P206" s="328"/>
      <c r="Q206" s="328"/>
      <c r="R206" s="328"/>
      <c r="S206" s="193"/>
    </row>
    <row r="207" spans="1:19">
      <c r="A207" s="202"/>
      <c r="B207" s="328"/>
      <c r="C207" s="328"/>
      <c r="D207" s="328"/>
      <c r="E207" s="328"/>
      <c r="F207" s="328"/>
      <c r="G207" s="328"/>
      <c r="H207" s="328"/>
      <c r="I207" s="328"/>
      <c r="J207" s="328"/>
      <c r="K207" s="328"/>
      <c r="L207" s="328"/>
      <c r="M207" s="328"/>
      <c r="N207" s="328"/>
      <c r="O207" s="328"/>
      <c r="P207" s="328"/>
      <c r="Q207" s="328"/>
      <c r="R207" s="328"/>
      <c r="S207" s="193"/>
    </row>
    <row r="208" spans="1:19">
      <c r="A208" s="202"/>
      <c r="B208" s="328"/>
      <c r="C208" s="328"/>
      <c r="D208" s="328"/>
      <c r="E208" s="328"/>
      <c r="F208" s="328"/>
      <c r="G208" s="328"/>
      <c r="H208" s="328"/>
      <c r="I208" s="328"/>
      <c r="J208" s="368"/>
      <c r="K208" s="336"/>
      <c r="L208" s="329"/>
      <c r="M208" s="328"/>
      <c r="N208" s="328"/>
      <c r="O208" s="328"/>
      <c r="P208" s="328"/>
      <c r="Q208" s="328"/>
      <c r="R208" s="328"/>
      <c r="S208" s="193"/>
    </row>
    <row r="209" spans="1:19">
      <c r="A209" s="202"/>
      <c r="B209" s="328"/>
      <c r="C209" s="328"/>
      <c r="D209" s="328"/>
      <c r="E209" s="328"/>
      <c r="F209" s="328"/>
      <c r="G209" s="328"/>
      <c r="H209" s="328"/>
      <c r="I209" s="328"/>
      <c r="J209" s="368"/>
      <c r="K209" s="336"/>
      <c r="L209" s="329"/>
      <c r="M209" s="328"/>
      <c r="N209" s="328"/>
      <c r="O209" s="328"/>
      <c r="P209" s="328"/>
      <c r="Q209" s="328"/>
      <c r="R209" s="328"/>
      <c r="S209" s="193"/>
    </row>
    <row r="210" spans="1:19">
      <c r="A210" s="202"/>
      <c r="B210" s="328"/>
      <c r="C210" s="328"/>
      <c r="D210" s="328"/>
      <c r="E210" s="328"/>
      <c r="F210" s="328"/>
      <c r="G210" s="328"/>
      <c r="H210" s="328"/>
      <c r="I210" s="328"/>
      <c r="J210" s="328"/>
      <c r="K210" s="328"/>
      <c r="L210" s="328"/>
      <c r="M210" s="328"/>
      <c r="N210" s="328"/>
      <c r="O210" s="328"/>
      <c r="P210" s="328"/>
      <c r="Q210" s="328"/>
      <c r="R210" s="328"/>
      <c r="S210" s="193"/>
    </row>
    <row r="211" spans="1:19">
      <c r="A211" s="202"/>
      <c r="B211" s="328"/>
      <c r="C211" s="328"/>
      <c r="D211" s="328"/>
      <c r="E211" s="328"/>
      <c r="F211" s="328"/>
      <c r="G211" s="328"/>
      <c r="H211" s="328"/>
      <c r="I211" s="328"/>
      <c r="J211" s="328"/>
      <c r="K211" s="328"/>
      <c r="L211" s="328"/>
      <c r="M211" s="328"/>
      <c r="N211" s="328"/>
      <c r="O211" s="328"/>
      <c r="P211" s="328"/>
      <c r="Q211" s="328"/>
      <c r="R211" s="328"/>
      <c r="S211" s="193"/>
    </row>
    <row r="212" spans="1:19">
      <c r="A212" s="202"/>
      <c r="B212" s="328"/>
      <c r="C212" s="328"/>
      <c r="D212" s="328"/>
      <c r="E212" s="328"/>
      <c r="F212" s="328"/>
      <c r="G212" s="328"/>
      <c r="H212" s="328"/>
      <c r="I212" s="328"/>
      <c r="J212" s="328"/>
      <c r="K212" s="328"/>
      <c r="L212" s="328"/>
      <c r="M212" s="328"/>
      <c r="N212" s="328"/>
      <c r="O212" s="328"/>
      <c r="P212" s="328"/>
      <c r="Q212" s="328"/>
      <c r="R212" s="328"/>
      <c r="S212" s="193"/>
    </row>
    <row r="213" spans="1:19">
      <c r="A213" s="202"/>
      <c r="B213" s="328"/>
      <c r="C213" s="328"/>
      <c r="D213" s="328"/>
      <c r="E213" s="328"/>
      <c r="F213" s="328"/>
      <c r="G213" s="328"/>
      <c r="H213" s="328"/>
      <c r="I213" s="328"/>
      <c r="J213" s="328"/>
      <c r="K213" s="328"/>
      <c r="L213" s="328"/>
      <c r="M213" s="328"/>
      <c r="N213" s="328"/>
      <c r="O213" s="328"/>
      <c r="P213" s="328"/>
      <c r="Q213" s="328"/>
      <c r="R213" s="328"/>
      <c r="S213" s="193"/>
    </row>
    <row r="214" spans="1:19">
      <c r="A214" s="202"/>
      <c r="B214" s="328"/>
      <c r="C214" s="328"/>
      <c r="D214" s="328"/>
      <c r="E214" s="328"/>
      <c r="F214" s="328"/>
      <c r="G214" s="328"/>
      <c r="H214" s="328"/>
      <c r="I214" s="328"/>
      <c r="J214" s="328"/>
      <c r="K214" s="328"/>
      <c r="L214" s="328"/>
      <c r="M214" s="328"/>
      <c r="N214" s="328"/>
      <c r="O214" s="328"/>
      <c r="P214" s="328"/>
      <c r="Q214" s="328"/>
      <c r="R214" s="328"/>
      <c r="S214" s="193"/>
    </row>
    <row r="215" spans="1:19">
      <c r="A215" s="202"/>
      <c r="B215" s="328"/>
      <c r="C215" s="328"/>
      <c r="D215" s="328"/>
      <c r="E215" s="328"/>
      <c r="F215" s="328"/>
      <c r="G215" s="328"/>
      <c r="H215" s="328"/>
      <c r="I215" s="328"/>
      <c r="J215" s="328"/>
      <c r="K215" s="328"/>
      <c r="L215" s="328"/>
      <c r="M215" s="328"/>
      <c r="N215" s="328"/>
      <c r="O215" s="328"/>
      <c r="P215" s="328"/>
      <c r="Q215" s="328"/>
      <c r="R215" s="328"/>
      <c r="S215" s="193"/>
    </row>
    <row r="216" spans="1:19">
      <c r="A216" s="202"/>
      <c r="B216" s="328"/>
      <c r="C216" s="328"/>
      <c r="D216" s="328"/>
      <c r="E216" s="328"/>
      <c r="F216" s="328"/>
      <c r="G216" s="328"/>
      <c r="H216" s="328"/>
      <c r="I216" s="328"/>
      <c r="J216" s="328"/>
      <c r="K216" s="328"/>
      <c r="L216" s="328"/>
      <c r="M216" s="328"/>
      <c r="N216" s="328"/>
      <c r="O216" s="328"/>
      <c r="P216" s="328"/>
      <c r="Q216" s="328"/>
      <c r="R216" s="328"/>
      <c r="S216" s="193"/>
    </row>
    <row r="217" spans="1:19" ht="16.5" thickBot="1">
      <c r="A217" s="202"/>
      <c r="B217" s="328"/>
      <c r="C217" s="328"/>
      <c r="D217" s="328"/>
      <c r="E217" s="328"/>
      <c r="F217" s="328"/>
      <c r="G217" s="328"/>
      <c r="H217" s="328"/>
      <c r="I217" s="328"/>
      <c r="J217" s="328"/>
      <c r="K217" s="328"/>
      <c r="L217" s="328"/>
      <c r="M217" s="328"/>
      <c r="N217" s="328"/>
      <c r="O217" s="328"/>
      <c r="P217" s="328"/>
      <c r="Q217" s="328"/>
      <c r="R217" s="328"/>
      <c r="S217" s="193"/>
    </row>
    <row r="218" spans="1:19" ht="16.5" thickBot="1">
      <c r="A218" s="371"/>
      <c r="B218" s="328"/>
      <c r="C218" s="328"/>
      <c r="D218" s="328"/>
      <c r="E218" s="328"/>
      <c r="F218" s="328"/>
      <c r="G218" s="328"/>
      <c r="H218" s="328"/>
      <c r="I218" s="328"/>
      <c r="J218" s="328"/>
      <c r="K218" s="328"/>
      <c r="L218" s="328"/>
      <c r="M218" s="328"/>
      <c r="N218" s="328"/>
      <c r="O218" s="328"/>
      <c r="P218" s="328"/>
      <c r="Q218" s="328"/>
      <c r="R218" s="328"/>
      <c r="S218" s="324"/>
    </row>
    <row r="219" spans="1:19">
      <c r="A219" s="202"/>
      <c r="B219" s="328"/>
      <c r="C219" s="328"/>
      <c r="D219" s="328"/>
      <c r="E219" s="328"/>
      <c r="F219" s="328"/>
      <c r="G219" s="328"/>
      <c r="H219" s="328"/>
      <c r="I219" s="328"/>
      <c r="J219" s="328"/>
      <c r="K219" s="328"/>
      <c r="L219" s="328"/>
      <c r="M219" s="328"/>
      <c r="N219" s="328"/>
      <c r="O219" s="328"/>
      <c r="P219" s="328"/>
      <c r="Q219" s="328"/>
      <c r="R219" s="328"/>
      <c r="S219" s="193"/>
    </row>
    <row r="220" spans="1:19" ht="16.5" thickBot="1">
      <c r="A220" s="194"/>
      <c r="B220" s="328"/>
      <c r="C220" s="328"/>
      <c r="D220" s="328"/>
      <c r="E220" s="328"/>
      <c r="F220" s="328"/>
      <c r="G220" s="328"/>
      <c r="H220" s="328"/>
      <c r="I220" s="328"/>
      <c r="J220" s="328"/>
      <c r="K220" s="328"/>
      <c r="L220" s="328"/>
      <c r="M220" s="328"/>
      <c r="N220" s="328"/>
      <c r="O220" s="328"/>
      <c r="P220" s="328"/>
      <c r="Q220" s="328"/>
      <c r="R220" s="328"/>
      <c r="S220" s="193"/>
    </row>
    <row r="221" spans="1:19">
      <c r="A221" s="202"/>
      <c r="B221" s="328"/>
      <c r="C221" s="328"/>
      <c r="D221" s="328"/>
      <c r="E221" s="328"/>
      <c r="F221" s="328"/>
      <c r="G221" s="328"/>
      <c r="H221" s="328"/>
      <c r="I221" s="328"/>
      <c r="J221" s="328"/>
      <c r="K221" s="328"/>
      <c r="L221" s="328"/>
      <c r="M221" s="328"/>
      <c r="N221" s="328"/>
      <c r="O221" s="328"/>
      <c r="P221" s="328"/>
      <c r="Q221" s="328"/>
      <c r="R221" s="328"/>
      <c r="S221" s="193"/>
    </row>
    <row r="222" spans="1:19">
      <c r="A222" s="202"/>
      <c r="B222" s="328"/>
      <c r="C222" s="328"/>
      <c r="D222" s="328"/>
      <c r="E222" s="328"/>
      <c r="F222" s="328"/>
      <c r="G222" s="328"/>
      <c r="H222" s="328"/>
      <c r="I222" s="328"/>
      <c r="J222" s="328"/>
      <c r="K222" s="328"/>
      <c r="L222" s="328"/>
      <c r="M222" s="328"/>
      <c r="N222" s="328"/>
      <c r="O222" s="328"/>
      <c r="P222" s="328"/>
      <c r="Q222" s="368"/>
      <c r="R222" s="329"/>
      <c r="S222" s="193"/>
    </row>
    <row r="223" spans="1:19">
      <c r="A223" s="202"/>
      <c r="B223" s="328"/>
      <c r="C223" s="328"/>
      <c r="D223" s="328"/>
      <c r="E223" s="328"/>
      <c r="F223" s="328"/>
      <c r="G223" s="328"/>
      <c r="H223" s="328"/>
      <c r="I223" s="328"/>
      <c r="J223" s="328"/>
      <c r="K223" s="328"/>
      <c r="L223" s="328"/>
      <c r="M223" s="328"/>
      <c r="N223" s="328"/>
      <c r="O223" s="328"/>
      <c r="P223" s="328"/>
      <c r="Q223" s="328"/>
      <c r="R223" s="328"/>
      <c r="S223" s="193"/>
    </row>
    <row r="224" spans="1:19">
      <c r="A224" s="202"/>
      <c r="B224" s="328"/>
      <c r="C224" s="328"/>
      <c r="D224" s="328"/>
      <c r="E224" s="328"/>
      <c r="F224" s="328"/>
      <c r="G224" s="328"/>
      <c r="H224" s="328"/>
      <c r="I224" s="328"/>
      <c r="J224" s="328"/>
      <c r="K224" s="328"/>
      <c r="L224" s="328"/>
      <c r="M224" s="328"/>
      <c r="N224" s="328"/>
      <c r="O224" s="328"/>
      <c r="P224" s="328"/>
      <c r="Q224" s="328"/>
      <c r="R224" s="328"/>
      <c r="S224" s="193"/>
    </row>
    <row r="225" spans="1:19">
      <c r="A225" s="202"/>
      <c r="B225" s="328"/>
      <c r="C225" s="328"/>
      <c r="D225" s="328"/>
      <c r="E225" s="328"/>
      <c r="F225" s="328"/>
      <c r="G225" s="328"/>
      <c r="H225" s="328"/>
      <c r="I225" s="328"/>
      <c r="J225" s="328"/>
      <c r="K225" s="328"/>
      <c r="L225" s="328"/>
      <c r="M225" s="328"/>
      <c r="N225" s="328"/>
      <c r="O225" s="328"/>
      <c r="P225" s="328"/>
      <c r="Q225" s="328"/>
      <c r="R225" s="328"/>
      <c r="S225" s="193"/>
    </row>
    <row r="226" spans="1:19">
      <c r="A226" s="202"/>
      <c r="B226" s="328"/>
      <c r="C226" s="328"/>
      <c r="D226" s="328"/>
      <c r="E226" s="328"/>
      <c r="F226" s="328"/>
      <c r="G226" s="328"/>
      <c r="H226" s="328"/>
      <c r="I226" s="368"/>
      <c r="J226" s="355"/>
      <c r="K226" s="368"/>
      <c r="L226" s="328"/>
      <c r="M226" s="328"/>
      <c r="N226" s="328"/>
      <c r="O226" s="328"/>
      <c r="P226" s="328"/>
      <c r="Q226" s="328"/>
      <c r="R226" s="328"/>
      <c r="S226" s="193"/>
    </row>
    <row r="227" spans="1:19">
      <c r="A227" s="202"/>
      <c r="B227" s="328"/>
      <c r="C227" s="328"/>
      <c r="D227" s="328"/>
      <c r="E227" s="328"/>
      <c r="F227" s="328"/>
      <c r="G227" s="328"/>
      <c r="H227" s="328"/>
      <c r="I227" s="368"/>
      <c r="J227" s="355"/>
      <c r="K227" s="368"/>
      <c r="L227" s="328"/>
      <c r="M227" s="328"/>
      <c r="N227" s="328"/>
      <c r="O227" s="328"/>
      <c r="P227" s="328"/>
      <c r="Q227" s="328"/>
      <c r="R227" s="328"/>
      <c r="S227" s="193"/>
    </row>
    <row r="228" spans="1:19">
      <c r="A228" s="202"/>
      <c r="B228" s="328"/>
      <c r="C228" s="328"/>
      <c r="D228" s="328"/>
      <c r="E228" s="328"/>
      <c r="F228" s="328"/>
      <c r="G228" s="328"/>
      <c r="H228" s="328"/>
      <c r="I228" s="328"/>
      <c r="J228" s="328"/>
      <c r="K228" s="328"/>
      <c r="L228" s="328"/>
      <c r="M228" s="328"/>
      <c r="N228" s="328"/>
      <c r="O228" s="328"/>
      <c r="P228" s="328"/>
      <c r="Q228" s="328"/>
      <c r="R228" s="328"/>
      <c r="S228" s="193"/>
    </row>
    <row r="229" spans="1:19">
      <c r="A229" s="202"/>
      <c r="B229" s="328"/>
      <c r="C229" s="328"/>
      <c r="D229" s="328"/>
      <c r="E229" s="328"/>
      <c r="F229" s="328"/>
      <c r="G229" s="328"/>
      <c r="H229" s="328"/>
      <c r="I229" s="368"/>
      <c r="J229" s="355"/>
      <c r="K229" s="329"/>
      <c r="L229" s="328"/>
      <c r="M229" s="328"/>
      <c r="N229" s="328"/>
      <c r="O229" s="328"/>
      <c r="P229" s="328"/>
      <c r="Q229" s="328"/>
      <c r="R229" s="328"/>
      <c r="S229" s="193"/>
    </row>
    <row r="230" spans="1:19">
      <c r="A230" s="202"/>
      <c r="B230" s="328"/>
      <c r="C230" s="328"/>
      <c r="D230" s="328"/>
      <c r="E230" s="328"/>
      <c r="F230" s="328"/>
      <c r="G230" s="328"/>
      <c r="H230" s="328"/>
      <c r="I230" s="368"/>
      <c r="J230" s="355"/>
      <c r="K230" s="329"/>
      <c r="L230" s="328"/>
      <c r="M230" s="328"/>
      <c r="N230" s="328"/>
      <c r="O230" s="328"/>
      <c r="P230" s="328"/>
      <c r="Q230" s="328"/>
      <c r="R230" s="328"/>
      <c r="S230" s="193"/>
    </row>
    <row r="231" spans="1:19">
      <c r="A231" s="202"/>
      <c r="B231" s="328"/>
      <c r="C231" s="328"/>
      <c r="D231" s="328"/>
      <c r="E231" s="328"/>
      <c r="F231" s="328"/>
      <c r="G231" s="328"/>
      <c r="H231" s="328"/>
      <c r="I231" s="328"/>
      <c r="J231" s="328"/>
      <c r="K231" s="328"/>
      <c r="L231" s="328"/>
      <c r="M231" s="328"/>
      <c r="N231" s="328"/>
      <c r="O231" s="328"/>
      <c r="P231" s="328"/>
      <c r="Q231" s="328"/>
      <c r="R231" s="328"/>
      <c r="S231" s="193"/>
    </row>
    <row r="232" spans="1:19">
      <c r="A232" s="202"/>
      <c r="B232" s="328"/>
      <c r="C232" s="328"/>
      <c r="D232" s="328"/>
      <c r="E232" s="328"/>
      <c r="F232" s="328"/>
      <c r="G232" s="328"/>
      <c r="H232" s="328"/>
      <c r="I232" s="328"/>
      <c r="J232" s="328"/>
      <c r="K232" s="328"/>
      <c r="L232" s="328"/>
      <c r="M232" s="328"/>
      <c r="N232" s="328"/>
      <c r="O232" s="328"/>
      <c r="P232" s="328"/>
      <c r="Q232" s="328"/>
      <c r="R232" s="328"/>
      <c r="S232" s="193"/>
    </row>
    <row r="233" spans="1:19">
      <c r="A233" s="202"/>
      <c r="B233" s="328"/>
      <c r="C233" s="328"/>
      <c r="D233" s="328"/>
      <c r="E233" s="328"/>
      <c r="F233" s="328"/>
      <c r="G233" s="328"/>
      <c r="H233" s="328"/>
      <c r="I233" s="328"/>
      <c r="J233" s="328"/>
      <c r="K233" s="328"/>
      <c r="L233" s="328"/>
      <c r="M233" s="328"/>
      <c r="N233" s="328"/>
      <c r="O233" s="328"/>
      <c r="P233" s="328"/>
      <c r="Q233" s="328"/>
      <c r="R233" s="328"/>
      <c r="S233" s="193"/>
    </row>
    <row r="234" spans="1:19">
      <c r="A234" s="202"/>
      <c r="B234" s="328"/>
      <c r="C234" s="328"/>
      <c r="D234" s="328"/>
      <c r="E234" s="328"/>
      <c r="F234" s="328"/>
      <c r="G234" s="328"/>
      <c r="H234" s="328"/>
      <c r="I234" s="328"/>
      <c r="J234" s="328"/>
      <c r="K234" s="328"/>
      <c r="L234" s="328"/>
      <c r="M234" s="328"/>
      <c r="N234" s="328"/>
      <c r="O234" s="328"/>
      <c r="P234" s="328"/>
      <c r="Q234" s="328"/>
      <c r="R234" s="328"/>
      <c r="S234" s="193"/>
    </row>
    <row r="235" spans="1:19">
      <c r="A235" s="202"/>
      <c r="B235" s="328"/>
      <c r="C235" s="328"/>
      <c r="D235" s="328"/>
      <c r="E235" s="328"/>
      <c r="F235" s="328"/>
      <c r="G235" s="328"/>
      <c r="H235" s="328"/>
      <c r="I235" s="328"/>
      <c r="J235" s="328"/>
      <c r="K235" s="328"/>
      <c r="L235" s="328"/>
      <c r="M235" s="328"/>
      <c r="N235" s="328"/>
      <c r="O235" s="328"/>
      <c r="P235" s="328"/>
      <c r="Q235" s="328"/>
      <c r="R235" s="328"/>
      <c r="S235" s="193"/>
    </row>
    <row r="236" spans="1:19">
      <c r="A236" s="202"/>
      <c r="B236" s="328"/>
      <c r="C236" s="328"/>
      <c r="D236" s="328"/>
      <c r="E236" s="328"/>
      <c r="F236" s="328"/>
      <c r="G236" s="328"/>
      <c r="H236" s="328"/>
      <c r="I236" s="328"/>
      <c r="J236" s="328"/>
      <c r="K236" s="328"/>
      <c r="L236" s="328"/>
      <c r="M236" s="328"/>
      <c r="N236" s="328"/>
      <c r="O236" s="328"/>
      <c r="P236" s="328"/>
      <c r="Q236" s="328"/>
      <c r="R236" s="328"/>
      <c r="S236" s="193"/>
    </row>
    <row r="237" spans="1:19">
      <c r="A237" s="202"/>
      <c r="B237" s="328"/>
      <c r="C237" s="328"/>
      <c r="D237" s="328"/>
      <c r="E237" s="328"/>
      <c r="F237" s="328"/>
      <c r="G237" s="328"/>
      <c r="H237" s="328"/>
      <c r="I237" s="328"/>
      <c r="J237" s="328"/>
      <c r="K237" s="328"/>
      <c r="L237" s="328"/>
      <c r="M237" s="328"/>
      <c r="N237" s="328"/>
      <c r="O237" s="328"/>
      <c r="P237" s="328"/>
      <c r="Q237" s="328"/>
      <c r="R237" s="328"/>
      <c r="S237" s="193"/>
    </row>
    <row r="238" spans="1:19">
      <c r="A238" s="202"/>
      <c r="B238" s="328"/>
      <c r="C238" s="328"/>
      <c r="D238" s="328"/>
      <c r="E238" s="328"/>
      <c r="F238" s="328"/>
      <c r="G238" s="328"/>
      <c r="H238" s="328"/>
      <c r="I238" s="328"/>
      <c r="J238" s="328"/>
      <c r="K238" s="328"/>
      <c r="L238" s="328"/>
      <c r="M238" s="328"/>
      <c r="N238" s="328"/>
      <c r="O238" s="328"/>
      <c r="P238" s="328"/>
      <c r="Q238" s="328"/>
      <c r="R238" s="328"/>
      <c r="S238" s="193"/>
    </row>
    <row r="239" spans="1:19">
      <c r="A239" s="202"/>
      <c r="B239" s="328"/>
      <c r="C239" s="328"/>
      <c r="D239" s="328"/>
      <c r="E239" s="328"/>
      <c r="F239" s="328"/>
      <c r="G239" s="328"/>
      <c r="H239" s="328"/>
      <c r="I239" s="328"/>
      <c r="J239" s="328"/>
      <c r="K239" s="328"/>
      <c r="L239" s="328"/>
      <c r="M239" s="328"/>
      <c r="N239" s="328"/>
      <c r="O239" s="328"/>
      <c r="P239" s="328"/>
      <c r="Q239" s="328"/>
      <c r="R239" s="328"/>
      <c r="S239" s="193"/>
    </row>
    <row r="240" spans="1:19">
      <c r="A240" s="202"/>
      <c r="B240" s="328"/>
      <c r="C240" s="328"/>
      <c r="D240" s="328"/>
      <c r="E240" s="328"/>
      <c r="F240" s="328"/>
      <c r="G240" s="328"/>
      <c r="H240" s="328"/>
      <c r="I240" s="328"/>
      <c r="J240" s="328"/>
      <c r="K240" s="328"/>
      <c r="L240" s="328"/>
      <c r="M240" s="328"/>
      <c r="N240" s="328"/>
      <c r="O240" s="328"/>
      <c r="P240" s="328"/>
      <c r="Q240" s="328"/>
      <c r="R240" s="328"/>
      <c r="S240" s="193"/>
    </row>
    <row r="241" spans="1:19">
      <c r="A241" s="202"/>
      <c r="B241" s="328"/>
      <c r="C241" s="328"/>
      <c r="D241" s="328"/>
      <c r="E241" s="328"/>
      <c r="F241" s="328"/>
      <c r="G241" s="328"/>
      <c r="H241" s="328"/>
      <c r="I241" s="328"/>
      <c r="J241" s="328"/>
      <c r="K241" s="328"/>
      <c r="L241" s="328"/>
      <c r="M241" s="328"/>
      <c r="N241" s="328"/>
      <c r="O241" s="328"/>
      <c r="P241" s="328"/>
      <c r="Q241" s="328"/>
      <c r="R241" s="328"/>
      <c r="S241" s="193"/>
    </row>
    <row r="242" spans="1:19">
      <c r="A242" s="202"/>
      <c r="B242" s="328"/>
      <c r="C242" s="328"/>
      <c r="D242" s="328"/>
      <c r="E242" s="328"/>
      <c r="F242" s="328"/>
      <c r="G242" s="328"/>
      <c r="H242" s="328"/>
      <c r="I242" s="328"/>
      <c r="J242" s="328"/>
      <c r="K242" s="328"/>
      <c r="L242" s="328"/>
      <c r="M242" s="328"/>
      <c r="N242" s="328"/>
      <c r="O242" s="328"/>
      <c r="P242" s="328"/>
      <c r="Q242" s="328"/>
      <c r="R242" s="328"/>
      <c r="S242" s="193"/>
    </row>
    <row r="243" spans="1:19">
      <c r="A243" s="202"/>
      <c r="B243" s="328"/>
      <c r="C243" s="328"/>
      <c r="D243" s="328"/>
      <c r="E243" s="328"/>
      <c r="F243" s="328"/>
      <c r="G243" s="328"/>
      <c r="H243" s="328"/>
      <c r="I243" s="328"/>
      <c r="J243" s="328"/>
      <c r="K243" s="328"/>
      <c r="L243" s="328"/>
      <c r="M243" s="328"/>
      <c r="N243" s="328"/>
      <c r="O243" s="328"/>
      <c r="P243" s="328"/>
      <c r="Q243" s="328"/>
      <c r="R243" s="328"/>
      <c r="S243" s="193"/>
    </row>
    <row r="244" spans="1:19">
      <c r="A244" s="202"/>
      <c r="B244" s="328"/>
      <c r="C244" s="328"/>
      <c r="D244" s="328"/>
      <c r="E244" s="328"/>
      <c r="F244" s="328"/>
      <c r="G244" s="328"/>
      <c r="H244" s="328"/>
      <c r="I244" s="328"/>
      <c r="J244" s="328"/>
      <c r="K244" s="328"/>
      <c r="L244" s="328"/>
      <c r="M244" s="328"/>
      <c r="N244" s="328"/>
      <c r="O244" s="328"/>
      <c r="P244" s="328"/>
      <c r="Q244" s="328"/>
      <c r="R244" s="328"/>
      <c r="S244" s="193"/>
    </row>
    <row r="245" spans="1:19" ht="16.5" thickBot="1">
      <c r="A245" s="223"/>
      <c r="B245" s="45"/>
      <c r="C245" s="45"/>
      <c r="D245" s="45"/>
      <c r="E245" s="45"/>
      <c r="F245" s="45"/>
      <c r="G245" s="45"/>
      <c r="H245" s="45"/>
      <c r="I245" s="45"/>
      <c r="J245" s="45"/>
      <c r="K245" s="45"/>
      <c r="L245" s="45"/>
      <c r="M245" s="45"/>
      <c r="N245" s="45"/>
      <c r="O245" s="45"/>
      <c r="P245" s="45"/>
      <c r="Q245" s="45"/>
      <c r="R245" s="45"/>
      <c r="S245" s="223"/>
    </row>
    <row r="246" spans="1:19" ht="16.5" thickBot="1">
      <c r="A246" s="221"/>
      <c r="S246" s="221"/>
    </row>
    <row r="247" spans="1:19" ht="20.25">
      <c r="A247" s="221"/>
      <c r="B247" s="591" t="s">
        <v>114</v>
      </c>
      <c r="C247" s="592"/>
      <c r="D247" s="285" t="s">
        <v>115</v>
      </c>
      <c r="E247" s="285" t="s">
        <v>116</v>
      </c>
      <c r="F247" s="226" t="s">
        <v>117</v>
      </c>
      <c r="I247" s="601" t="s">
        <v>103</v>
      </c>
      <c r="J247" s="601"/>
      <c r="K247" s="601"/>
      <c r="M247" s="591" t="s">
        <v>114</v>
      </c>
      <c r="N247" s="592"/>
      <c r="O247" s="592"/>
      <c r="P247" s="225" t="s">
        <v>115</v>
      </c>
      <c r="Q247" s="225" t="s">
        <v>116</v>
      </c>
      <c r="R247" s="226" t="s">
        <v>117</v>
      </c>
      <c r="S247" s="221"/>
    </row>
    <row r="248" spans="1:19" ht="18.75">
      <c r="A248" s="221"/>
      <c r="B248" s="602" t="s">
        <v>104</v>
      </c>
      <c r="C248" s="603"/>
      <c r="D248" s="282" t="s">
        <v>118</v>
      </c>
      <c r="E248" s="282" t="s">
        <v>134</v>
      </c>
      <c r="F248" s="191">
        <f>Sheet1!Q210</f>
        <v>0</v>
      </c>
      <c r="M248" s="593" t="s">
        <v>126</v>
      </c>
      <c r="N248" s="594"/>
      <c r="O248" s="594"/>
      <c r="P248" s="213" t="s">
        <v>131</v>
      </c>
      <c r="Q248" s="213" t="s">
        <v>124</v>
      </c>
      <c r="R248" s="191">
        <f>Sheet1!F64</f>
        <v>0</v>
      </c>
      <c r="S248" s="221"/>
    </row>
    <row r="249" spans="1:19" ht="20.25">
      <c r="A249" s="221"/>
      <c r="B249" s="599" t="s">
        <v>105</v>
      </c>
      <c r="C249" s="600"/>
      <c r="D249" s="282" t="s">
        <v>112</v>
      </c>
      <c r="E249" s="282" t="s">
        <v>134</v>
      </c>
      <c r="F249" s="191">
        <f>Sheet1!Q320</f>
        <v>0</v>
      </c>
      <c r="M249" s="595" t="s">
        <v>127</v>
      </c>
      <c r="N249" s="596"/>
      <c r="O249" s="596"/>
      <c r="P249" s="213" t="s">
        <v>132</v>
      </c>
      <c r="Q249" s="213" t="s">
        <v>133</v>
      </c>
      <c r="R249" s="191">
        <f>Sheet1!R116</f>
        <v>0</v>
      </c>
      <c r="S249" s="221"/>
    </row>
    <row r="250" spans="1:19" ht="21" thickBot="1">
      <c r="A250" s="221"/>
      <c r="B250" s="599" t="s">
        <v>106</v>
      </c>
      <c r="C250" s="600"/>
      <c r="D250" s="282" t="s">
        <v>119</v>
      </c>
      <c r="E250" s="282" t="s">
        <v>134</v>
      </c>
      <c r="F250" s="191">
        <f>Sheet1!I318</f>
        <v>0</v>
      </c>
      <c r="M250" s="597" t="s">
        <v>128</v>
      </c>
      <c r="N250" s="598"/>
      <c r="O250" s="598"/>
      <c r="P250" s="213" t="s">
        <v>132</v>
      </c>
      <c r="Q250" s="227" t="s">
        <v>133</v>
      </c>
      <c r="R250" s="228">
        <f>Sheet1!R245</f>
        <v>0</v>
      </c>
      <c r="S250" s="221"/>
    </row>
    <row r="251" spans="1:19">
      <c r="A251" s="221"/>
      <c r="B251" s="599" t="s">
        <v>107</v>
      </c>
      <c r="C251" s="600"/>
      <c r="D251" s="282" t="s">
        <v>120</v>
      </c>
      <c r="E251" s="282" t="s">
        <v>134</v>
      </c>
      <c r="F251" s="191">
        <f>Sheet1!I320</f>
        <v>0</v>
      </c>
      <c r="N251" s="588"/>
      <c r="O251" s="588"/>
      <c r="P251" s="224"/>
      <c r="Q251" s="224"/>
      <c r="R251" s="224"/>
      <c r="S251" s="221"/>
    </row>
    <row r="252" spans="1:19" ht="18.75">
      <c r="A252" s="221"/>
      <c r="B252" s="599" t="s">
        <v>108</v>
      </c>
      <c r="C252" s="600"/>
      <c r="D252" s="282" t="s">
        <v>121</v>
      </c>
      <c r="E252" s="282" t="s">
        <v>134</v>
      </c>
      <c r="F252" s="191">
        <f>Sheet1!Q38*100</f>
        <v>0</v>
      </c>
      <c r="G252" s="620" t="s">
        <v>142</v>
      </c>
      <c r="H252" s="621"/>
      <c r="I252" s="621"/>
      <c r="J252" s="621"/>
      <c r="K252" s="621"/>
      <c r="L252" s="621"/>
      <c r="M252" s="621"/>
      <c r="N252" s="621"/>
      <c r="O252" s="621"/>
      <c r="P252" s="621"/>
      <c r="Q252" s="621"/>
      <c r="R252" s="621"/>
      <c r="S252" s="221"/>
    </row>
    <row r="253" spans="1:19">
      <c r="A253" s="221"/>
      <c r="B253" s="599" t="s">
        <v>129</v>
      </c>
      <c r="C253" s="600"/>
      <c r="D253" s="282" t="s">
        <v>130</v>
      </c>
      <c r="E253" s="282" t="s">
        <v>124</v>
      </c>
      <c r="F253" s="191">
        <f>Sheet1!Q55</f>
        <v>0</v>
      </c>
      <c r="K253" s="635" t="s">
        <v>148</v>
      </c>
      <c r="L253" s="635"/>
      <c r="M253" s="635"/>
      <c r="N253" s="635"/>
      <c r="O253" s="635"/>
      <c r="P253" s="635"/>
      <c r="Q253" s="635"/>
      <c r="R253" s="635"/>
      <c r="S253" s="221"/>
    </row>
    <row r="254" spans="1:19" ht="16.5" thickBot="1">
      <c r="A254" s="221"/>
      <c r="B254" s="599" t="s">
        <v>109</v>
      </c>
      <c r="C254" s="600"/>
      <c r="D254" s="282" t="s">
        <v>113</v>
      </c>
      <c r="E254" s="282" t="s">
        <v>124</v>
      </c>
      <c r="F254" s="191">
        <f>Sheet1!Q75</f>
        <v>0</v>
      </c>
      <c r="N254" s="588"/>
      <c r="O254" s="588"/>
      <c r="P254" s="224"/>
      <c r="Q254" s="224"/>
      <c r="R254" s="224"/>
      <c r="S254" s="221"/>
    </row>
    <row r="255" spans="1:19">
      <c r="A255" s="221"/>
      <c r="B255" s="577" t="s">
        <v>110</v>
      </c>
      <c r="C255" s="578"/>
      <c r="D255" s="282" t="s">
        <v>122</v>
      </c>
      <c r="E255" s="282" t="s">
        <v>125</v>
      </c>
      <c r="F255" s="191">
        <f>Sheet1!Q197</f>
        <v>0</v>
      </c>
      <c r="K255" s="304" t="s">
        <v>116</v>
      </c>
      <c r="L255" s="636" t="s">
        <v>140</v>
      </c>
      <c r="M255" s="637"/>
      <c r="N255" s="589" t="s">
        <v>137</v>
      </c>
      <c r="O255" s="590"/>
      <c r="P255" s="298" t="s">
        <v>116</v>
      </c>
      <c r="Q255" s="224"/>
      <c r="R255" s="224"/>
      <c r="S255" s="221"/>
    </row>
    <row r="256" spans="1:19" ht="16.5" thickBot="1">
      <c r="A256" s="221"/>
      <c r="B256" s="579" t="s">
        <v>111</v>
      </c>
      <c r="C256" s="580"/>
      <c r="D256" s="227" t="s">
        <v>123</v>
      </c>
      <c r="E256" s="227" t="s">
        <v>125</v>
      </c>
      <c r="F256" s="228">
        <f>Sheet1!Q307</f>
        <v>0</v>
      </c>
      <c r="K256" s="284" t="s">
        <v>141</v>
      </c>
      <c r="L256" s="160" t="s">
        <v>138</v>
      </c>
      <c r="M256" s="305">
        <f>F255*100</f>
        <v>0</v>
      </c>
      <c r="N256" s="299" t="s">
        <v>138</v>
      </c>
      <c r="O256" s="292">
        <v>20000000</v>
      </c>
      <c r="P256" s="300" t="s">
        <v>136</v>
      </c>
      <c r="Q256" s="224"/>
      <c r="R256" s="224"/>
      <c r="S256" s="221"/>
    </row>
    <row r="257" spans="1:19" ht="16.5" thickBot="1">
      <c r="A257" s="221"/>
      <c r="B257" s="587"/>
      <c r="C257" s="587"/>
      <c r="D257" s="310"/>
      <c r="E257" s="310"/>
      <c r="F257" s="283"/>
      <c r="K257" s="284" t="s">
        <v>141</v>
      </c>
      <c r="L257" s="307" t="s">
        <v>139</v>
      </c>
      <c r="M257" s="306">
        <f>F256*100</f>
        <v>0</v>
      </c>
      <c r="N257" s="301" t="s">
        <v>139</v>
      </c>
      <c r="O257" s="302">
        <v>10000000</v>
      </c>
      <c r="P257" s="303" t="s">
        <v>136</v>
      </c>
      <c r="Q257" s="224"/>
      <c r="R257" s="224"/>
      <c r="S257" s="221"/>
    </row>
    <row r="258" spans="1:19">
      <c r="A258" s="221"/>
      <c r="B258" s="587"/>
      <c r="C258" s="587"/>
      <c r="D258" s="310"/>
      <c r="E258" s="310"/>
      <c r="F258" s="283"/>
      <c r="S258" s="221"/>
    </row>
    <row r="259" spans="1:19">
      <c r="A259" s="221"/>
      <c r="B259" s="587"/>
      <c r="C259" s="587"/>
      <c r="D259" s="310"/>
      <c r="E259" s="310"/>
      <c r="F259" s="296"/>
      <c r="S259" s="221"/>
    </row>
    <row r="260" spans="1:19">
      <c r="A260" s="221"/>
      <c r="B260" s="587"/>
      <c r="C260" s="587"/>
      <c r="D260" s="310"/>
      <c r="E260" s="310"/>
      <c r="F260" s="296"/>
      <c r="S260" s="221"/>
    </row>
    <row r="261" spans="1:19">
      <c r="A261" s="221"/>
      <c r="S261" s="221"/>
    </row>
    <row r="262" spans="1:19">
      <c r="A262" s="221"/>
      <c r="B262" s="221"/>
      <c r="C262" s="221"/>
      <c r="D262" s="221"/>
      <c r="E262" s="221"/>
      <c r="F262" s="221"/>
      <c r="G262" s="221"/>
      <c r="H262" s="221"/>
      <c r="I262" s="221"/>
      <c r="J262" s="221"/>
      <c r="K262" s="221"/>
      <c r="L262" s="221"/>
      <c r="M262" s="221"/>
      <c r="N262" s="221"/>
      <c r="O262" s="221"/>
      <c r="P262" s="221"/>
      <c r="Q262" s="221"/>
      <c r="R262" s="221"/>
      <c r="S262" s="221"/>
    </row>
    <row r="263" spans="1:19">
      <c r="A263" s="221"/>
      <c r="B263" s="221"/>
      <c r="C263" s="221"/>
      <c r="D263" s="221"/>
      <c r="E263" s="221"/>
      <c r="F263" s="221"/>
      <c r="G263" s="221"/>
      <c r="H263" s="221"/>
      <c r="I263" s="221"/>
      <c r="J263" s="221"/>
      <c r="K263" s="221"/>
      <c r="L263" s="221"/>
      <c r="M263" s="221"/>
      <c r="N263" s="221"/>
      <c r="O263" s="221"/>
      <c r="P263" s="221"/>
      <c r="Q263" s="221"/>
      <c r="R263" s="221"/>
      <c r="S263" s="221"/>
    </row>
  </sheetData>
  <mergeCells count="149">
    <mergeCell ref="A1:P1"/>
    <mergeCell ref="I163:J163"/>
    <mergeCell ref="I165:J165"/>
    <mergeCell ref="B187:C188"/>
    <mergeCell ref="G252:R252"/>
    <mergeCell ref="K253:R253"/>
    <mergeCell ref="L255:M255"/>
    <mergeCell ref="H6:I6"/>
    <mergeCell ref="N26:O26"/>
    <mergeCell ref="L27:M27"/>
    <mergeCell ref="L28:M28"/>
    <mergeCell ref="I7:J7"/>
    <mergeCell ref="K7:L7"/>
    <mergeCell ref="M7:N7"/>
    <mergeCell ref="O7:P7"/>
    <mergeCell ref="O37:R37"/>
    <mergeCell ref="O38:R38"/>
    <mergeCell ref="O39:R39"/>
    <mergeCell ref="G38:H38"/>
    <mergeCell ref="J62:K62"/>
    <mergeCell ref="J64:K64"/>
    <mergeCell ref="J65:K65"/>
    <mergeCell ref="J66:K66"/>
    <mergeCell ref="M99:N99"/>
    <mergeCell ref="C39:F39"/>
    <mergeCell ref="G39:H39"/>
    <mergeCell ref="I39:J39"/>
    <mergeCell ref="L39:M39"/>
    <mergeCell ref="N47:P47"/>
    <mergeCell ref="P46:Q46"/>
    <mergeCell ref="N48:P48"/>
    <mergeCell ref="N49:P49"/>
    <mergeCell ref="N50:P50"/>
    <mergeCell ref="F62:H62"/>
    <mergeCell ref="C55:F55"/>
    <mergeCell ref="C54:F54"/>
    <mergeCell ref="C57:F57"/>
    <mergeCell ref="C50:F50"/>
    <mergeCell ref="C51:F51"/>
    <mergeCell ref="C52:F52"/>
    <mergeCell ref="C53:F53"/>
    <mergeCell ref="N73:O73"/>
    <mergeCell ref="N52:P52"/>
    <mergeCell ref="N53:P53"/>
    <mergeCell ref="N51:P51"/>
    <mergeCell ref="N54:R54"/>
    <mergeCell ref="B69:C69"/>
    <mergeCell ref="D63:E63"/>
    <mergeCell ref="F63:H63"/>
    <mergeCell ref="B64:C64"/>
    <mergeCell ref="B65:C65"/>
    <mergeCell ref="B66:C66"/>
    <mergeCell ref="B67:C67"/>
    <mergeCell ref="B63:C63"/>
    <mergeCell ref="E71:F71"/>
    <mergeCell ref="I115:J116"/>
    <mergeCell ref="I117:J117"/>
    <mergeCell ref="I118:J118"/>
    <mergeCell ref="I119:J119"/>
    <mergeCell ref="K115:M115"/>
    <mergeCell ref="I160:J160"/>
    <mergeCell ref="I120:J120"/>
    <mergeCell ref="F26:G26"/>
    <mergeCell ref="B27:J27"/>
    <mergeCell ref="D28:H28"/>
    <mergeCell ref="C45:F45"/>
    <mergeCell ref="C46:F46"/>
    <mergeCell ref="F61:G61"/>
    <mergeCell ref="B62:C62"/>
    <mergeCell ref="D62:E62"/>
    <mergeCell ref="C47:F47"/>
    <mergeCell ref="C48:F48"/>
    <mergeCell ref="C49:F49"/>
    <mergeCell ref="E40:F40"/>
    <mergeCell ref="C41:F41"/>
    <mergeCell ref="C42:F42"/>
    <mergeCell ref="C43:F43"/>
    <mergeCell ref="C44:F44"/>
    <mergeCell ref="J63:K63"/>
    <mergeCell ref="D64:E64"/>
    <mergeCell ref="D65:E65"/>
    <mergeCell ref="D66:E66"/>
    <mergeCell ref="D67:E67"/>
    <mergeCell ref="F64:H64"/>
    <mergeCell ref="F65:H65"/>
    <mergeCell ref="F66:H66"/>
    <mergeCell ref="F67:H67"/>
    <mergeCell ref="J67:K67"/>
    <mergeCell ref="I159:J159"/>
    <mergeCell ref="B259:C259"/>
    <mergeCell ref="B260:C260"/>
    <mergeCell ref="N251:O251"/>
    <mergeCell ref="N254:O254"/>
    <mergeCell ref="N255:O255"/>
    <mergeCell ref="M247:O247"/>
    <mergeCell ref="M248:O248"/>
    <mergeCell ref="M249:O249"/>
    <mergeCell ref="M250:O250"/>
    <mergeCell ref="B250:C250"/>
    <mergeCell ref="B251:C251"/>
    <mergeCell ref="B252:C252"/>
    <mergeCell ref="B254:C254"/>
    <mergeCell ref="B247:C247"/>
    <mergeCell ref="I247:K247"/>
    <mergeCell ref="B248:C248"/>
    <mergeCell ref="B249:C249"/>
    <mergeCell ref="B257:C257"/>
    <mergeCell ref="B258:C258"/>
    <mergeCell ref="B253:C253"/>
    <mergeCell ref="C77:D77"/>
    <mergeCell ref="L79:M79"/>
    <mergeCell ref="J87:Q87"/>
    <mergeCell ref="J89:Q89"/>
    <mergeCell ref="B255:C255"/>
    <mergeCell ref="B256:C256"/>
    <mergeCell ref="C72:D72"/>
    <mergeCell ref="C73:D73"/>
    <mergeCell ref="C74:D74"/>
    <mergeCell ref="C75:D75"/>
    <mergeCell ref="C76:D76"/>
    <mergeCell ref="N115:N116"/>
    <mergeCell ref="I128:J128"/>
    <mergeCell ref="I129:J129"/>
    <mergeCell ref="I131:J131"/>
    <mergeCell ref="I132:J132"/>
    <mergeCell ref="B189:C189"/>
    <mergeCell ref="B190:C190"/>
    <mergeCell ref="B191:C191"/>
    <mergeCell ref="D187:H187"/>
    <mergeCell ref="I137:J137"/>
    <mergeCell ref="I135:J135"/>
    <mergeCell ref="I156:J156"/>
    <mergeCell ref="I157:J157"/>
    <mergeCell ref="J102:K102"/>
    <mergeCell ref="J104:K104"/>
    <mergeCell ref="N75:O75"/>
    <mergeCell ref="P75:Q75"/>
    <mergeCell ref="L74:Q74"/>
    <mergeCell ref="N83:Q83"/>
    <mergeCell ref="P78:Q78"/>
    <mergeCell ref="N78:O78"/>
    <mergeCell ref="L78:M78"/>
    <mergeCell ref="P76:Q76"/>
    <mergeCell ref="P77:Q77"/>
    <mergeCell ref="L76:M76"/>
    <mergeCell ref="L77:M77"/>
    <mergeCell ref="N76:O76"/>
    <mergeCell ref="N77:O77"/>
    <mergeCell ref="L75:M75"/>
  </mergeCells>
  <pageMargins left="0.7" right="0.7" top="0.75" bottom="0.75" header="0.3" footer="0.3"/>
  <pageSetup paperSize="9" orientation="portrait" horizontalDpi="4294967294"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dc:creator>
  <cp:lastModifiedBy>Administrator</cp:lastModifiedBy>
  <dcterms:created xsi:type="dcterms:W3CDTF">2017-12-21T07:56:23Z</dcterms:created>
  <dcterms:modified xsi:type="dcterms:W3CDTF">2019-06-16T19:40:56Z</dcterms:modified>
</cp:coreProperties>
</file>