
<file path=[Content_Types].xml><?xml version="1.0" encoding="utf-8"?>
<Types xmlns="http://schemas.openxmlformats.org/package/2006/content-types">
  <Default Extension="png" ContentType="image/png"/>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20400" windowHeight="7995" activeTab="2"/>
  </bookViews>
  <sheets>
    <sheet name="Sheet1" sheetId="1" r:id="rId1"/>
    <sheet name="Sheet2" sheetId="2" r:id="rId2"/>
    <sheet name="Sheet3" sheetId="3" r:id="rId3"/>
  </sheets>
  <calcPr calcId="125725"/>
</workbook>
</file>

<file path=xl/calcChain.xml><?xml version="1.0" encoding="utf-8"?>
<calcChain xmlns="http://schemas.openxmlformats.org/spreadsheetml/2006/main">
  <c r="Q199" i="1"/>
  <c r="Q309"/>
  <c r="Q90"/>
  <c r="Q88"/>
  <c r="Q75"/>
  <c r="N45"/>
  <c r="Q38" s="1"/>
  <c r="E39"/>
  <c r="E41"/>
  <c r="E40"/>
  <c r="E42"/>
  <c r="Q314"/>
  <c r="Q204"/>
  <c r="E4"/>
  <c r="E3"/>
  <c r="B16"/>
  <c r="B15"/>
  <c r="M84" i="3"/>
  <c r="H21" i="1" s="1"/>
  <c r="P185" s="1"/>
  <c r="B8"/>
  <c r="F67" s="1"/>
  <c r="B6"/>
  <c r="F251" i="3"/>
  <c r="H26" i="1"/>
  <c r="H23"/>
  <c r="H25"/>
  <c r="H22"/>
  <c r="K18"/>
  <c r="K17"/>
  <c r="H18"/>
  <c r="H17"/>
  <c r="L10"/>
  <c r="H10"/>
  <c r="L9"/>
  <c r="H9"/>
  <c r="K131" i="3"/>
  <c r="K128"/>
  <c r="L4" i="1"/>
  <c r="H4"/>
  <c r="L5"/>
  <c r="H5"/>
  <c r="L6"/>
  <c r="H6"/>
  <c r="H24"/>
  <c r="H16"/>
  <c r="L13"/>
  <c r="L12"/>
  <c r="L11"/>
  <c r="H15"/>
  <c r="H14"/>
  <c r="H12"/>
  <c r="H11"/>
  <c r="L8"/>
  <c r="L7"/>
  <c r="H8"/>
  <c r="H7"/>
  <c r="H1"/>
  <c r="E10"/>
  <c r="E6"/>
  <c r="E49" s="1"/>
  <c r="E2"/>
  <c r="E1"/>
  <c r="B14"/>
  <c r="B13"/>
  <c r="B12"/>
  <c r="Q163" s="1"/>
  <c r="B11"/>
  <c r="B9"/>
  <c r="Q272" s="1"/>
  <c r="B3"/>
  <c r="B2"/>
  <c r="B1"/>
  <c r="L14"/>
  <c r="E12"/>
  <c r="E11"/>
  <c r="E8"/>
  <c r="E7"/>
  <c r="E5"/>
  <c r="B7"/>
  <c r="B5"/>
  <c r="B4"/>
  <c r="B11" i="3"/>
  <c r="B12" s="1"/>
  <c r="B13" s="1"/>
  <c r="B14" s="1"/>
  <c r="B15" s="1"/>
  <c r="B16" s="1"/>
  <c r="B17" s="1"/>
  <c r="B18" s="1"/>
  <c r="B19" s="1"/>
  <c r="B20" s="1"/>
  <c r="B21" s="1"/>
  <c r="B22" s="1"/>
  <c r="B10"/>
  <c r="P186" i="1"/>
  <c r="Q271" l="1"/>
  <c r="Q162"/>
  <c r="J8"/>
  <c r="O144" s="1"/>
  <c r="N8"/>
  <c r="K159" i="3" s="1"/>
  <c r="Q169" i="1"/>
  <c r="O143"/>
  <c r="Q278"/>
  <c r="Q171"/>
  <c r="G46"/>
  <c r="D44"/>
  <c r="Q107" s="1"/>
  <c r="Q160"/>
  <c r="Q157" s="1"/>
  <c r="Q168"/>
  <c r="Q277"/>
  <c r="Q240"/>
  <c r="O255"/>
  <c r="Q269"/>
  <c r="Q266" s="1"/>
  <c r="P295"/>
  <c r="P294" s="1"/>
  <c r="Q280"/>
  <c r="F69"/>
  <c r="F64" s="1"/>
  <c r="F59"/>
  <c r="F57" s="1"/>
  <c r="O256" l="1"/>
  <c r="Q276"/>
  <c r="Q270" s="1"/>
  <c r="Q167"/>
  <c r="Q161" s="1"/>
  <c r="Q251"/>
  <c r="Q292" s="1"/>
  <c r="L204" i="3" s="1"/>
  <c r="K156"/>
  <c r="Q87" i="1"/>
  <c r="I102" i="3" s="1"/>
  <c r="K113" s="1"/>
  <c r="Q91" i="1"/>
  <c r="Q158"/>
  <c r="Q156" s="1"/>
  <c r="N41"/>
  <c r="Q231"/>
  <c r="Q78"/>
  <c r="G44"/>
  <c r="N43" s="1"/>
  <c r="Q267"/>
  <c r="Q265" s="1"/>
  <c r="F62"/>
  <c r="Q55" s="1"/>
  <c r="R248" i="3"/>
  <c r="Q79" i="1" l="1"/>
  <c r="O77" s="1"/>
  <c r="Q165" s="1"/>
  <c r="Q155" s="1"/>
  <c r="D112" i="3"/>
  <c r="F252"/>
  <c r="Q230" i="1"/>
  <c r="F253" i="3"/>
  <c r="Q220" i="1"/>
  <c r="Q228" s="1"/>
  <c r="Q227" s="1"/>
  <c r="I104" i="3" s="1"/>
  <c r="Q219" i="1" l="1"/>
  <c r="O253" s="1"/>
  <c r="F254" i="3"/>
  <c r="K114"/>
  <c r="D113"/>
  <c r="Q229" i="1"/>
  <c r="Q226" s="1"/>
  <c r="O234"/>
  <c r="Q234"/>
  <c r="O141"/>
  <c r="K129" i="3" s="1"/>
  <c r="K157" s="1"/>
  <c r="K187" s="1"/>
  <c r="Q106" i="1"/>
  <c r="Q218" l="1"/>
  <c r="O293" s="1"/>
  <c r="K132" i="3"/>
  <c r="K160" s="1"/>
  <c r="K188" s="1"/>
  <c r="Q274" i="1"/>
  <c r="Q89"/>
  <c r="Q225" s="1"/>
  <c r="Q232" s="1"/>
  <c r="Q290" s="1"/>
  <c r="Q239"/>
  <c r="Q241" s="1"/>
  <c r="Q139"/>
  <c r="Q98"/>
  <c r="Q183" l="1"/>
  <c r="L203" i="3" s="1"/>
  <c r="Q264" i="1"/>
  <c r="M285" s="1"/>
  <c r="R289"/>
  <c r="Q300" s="1"/>
  <c r="Q108"/>
  <c r="Q85"/>
  <c r="Q86" s="1"/>
  <c r="Q92" s="1"/>
  <c r="Q181" s="1"/>
  <c r="Q190" s="1"/>
  <c r="Q197" s="1"/>
  <c r="R245"/>
  <c r="M176"/>
  <c r="Q192"/>
  <c r="K226" i="3" s="1"/>
  <c r="Q302" i="1" l="1"/>
  <c r="K227" i="3" s="1"/>
  <c r="Q307" i="1"/>
  <c r="M284"/>
  <c r="O285" s="1"/>
  <c r="R250" i="3"/>
  <c r="F255"/>
  <c r="M256" s="1"/>
  <c r="R116" i="1"/>
  <c r="F256" i="3" l="1"/>
  <c r="M257" s="1"/>
  <c r="M175" i="1"/>
  <c r="O176" s="1"/>
  <c r="R249" i="3"/>
  <c r="Q212" i="1"/>
  <c r="Q210" s="1"/>
  <c r="F248" i="3" s="1"/>
  <c r="I94" s="1"/>
  <c r="Q322" i="1" l="1"/>
  <c r="Q320" s="1"/>
  <c r="F249" i="3" l="1"/>
  <c r="G94" s="1"/>
  <c r="I318" i="1"/>
  <c r="F250" i="3" s="1"/>
  <c r="E94" s="1"/>
</calcChain>
</file>

<file path=xl/sharedStrings.xml><?xml version="1.0" encoding="utf-8"?>
<sst xmlns="http://schemas.openxmlformats.org/spreadsheetml/2006/main" count="886" uniqueCount="617">
  <si>
    <t>P</t>
  </si>
  <si>
    <r>
      <t>H</t>
    </r>
    <r>
      <rPr>
        <sz val="9"/>
        <color theme="1"/>
        <rFont val="Times New Roman"/>
        <family val="1"/>
      </rPr>
      <t>вct</t>
    </r>
  </si>
  <si>
    <r>
      <t>γ</t>
    </r>
    <r>
      <rPr>
        <sz val="9"/>
        <color theme="1"/>
        <rFont val="Times New Roman"/>
        <family val="1"/>
      </rPr>
      <t>б</t>
    </r>
  </si>
  <si>
    <r>
      <t>γ</t>
    </r>
    <r>
      <rPr>
        <sz val="9"/>
        <color theme="1"/>
        <rFont val="Times New Roman"/>
        <family val="1"/>
      </rPr>
      <t>г</t>
    </r>
  </si>
  <si>
    <t>Ea</t>
  </si>
  <si>
    <t>C</t>
  </si>
  <si>
    <t>وزن القنبلة كغ</t>
  </si>
  <si>
    <t>وزن الحشوة الى قطرها</t>
  </si>
  <si>
    <t>نسبة طول الرأس الحربي للقطر</t>
  </si>
  <si>
    <t>معامل الاختراق للتربة</t>
  </si>
  <si>
    <t>α</t>
  </si>
  <si>
    <r>
      <rPr>
        <sz val="16"/>
        <color theme="1"/>
        <rFont val="Times New Roman"/>
        <family val="1"/>
      </rPr>
      <t>n</t>
    </r>
    <r>
      <rPr>
        <sz val="9"/>
        <color theme="1"/>
        <rFont val="Times New Roman"/>
        <family val="1"/>
      </rPr>
      <t>0</t>
    </r>
  </si>
  <si>
    <t>المعطيات الأساسية</t>
  </si>
  <si>
    <t>عامل متعلق بنوع بلاطة الحماية(جدول1)</t>
  </si>
  <si>
    <t>جدول رقم1</t>
  </si>
  <si>
    <t>تحديد سماكة بلاطة الحماية</t>
  </si>
  <si>
    <r>
      <rPr>
        <b/>
        <sz val="16"/>
        <color theme="1"/>
        <rFont val="Times New Roman"/>
        <family val="1"/>
      </rPr>
      <t xml:space="preserve">                                                                                                                                                                                                           ; h</t>
    </r>
    <r>
      <rPr>
        <sz val="12"/>
        <color theme="1"/>
        <rFont val="Times New Roman"/>
        <family val="2"/>
      </rPr>
      <t xml:space="preserve">t = </t>
    </r>
    <r>
      <rPr>
        <b/>
        <sz val="16"/>
        <color theme="1"/>
        <rFont val="Times New Roman"/>
        <family val="1"/>
      </rPr>
      <t>n</t>
    </r>
    <r>
      <rPr>
        <sz val="9"/>
        <color theme="1"/>
        <rFont val="Times New Roman"/>
        <family val="1"/>
      </rPr>
      <t>0</t>
    </r>
    <r>
      <rPr>
        <b/>
        <sz val="16"/>
        <color theme="1"/>
        <rFont val="Times New Roman"/>
        <family val="1"/>
      </rPr>
      <t>(r</t>
    </r>
    <r>
      <rPr>
        <sz val="12"/>
        <color theme="1"/>
        <rFont val="Times New Roman"/>
        <family val="1"/>
      </rPr>
      <t>вt</t>
    </r>
    <r>
      <rPr>
        <sz val="12"/>
        <color theme="1"/>
        <rFont val="Times New Roman"/>
        <family val="2"/>
      </rPr>
      <t xml:space="preserve"> -</t>
    </r>
    <r>
      <rPr>
        <b/>
        <sz val="16"/>
        <color theme="1"/>
        <rFont val="Times New Roman"/>
        <family val="1"/>
      </rPr>
      <t xml:space="preserve"> ц</t>
    </r>
    <r>
      <rPr>
        <b/>
        <sz val="12"/>
        <color theme="1"/>
        <rFont val="Times New Roman"/>
        <family val="1"/>
      </rPr>
      <t>)</t>
    </r>
  </si>
  <si>
    <t>يجب املاء جدول المعطيات الرئيسية</t>
  </si>
  <si>
    <t>للحشوة المجمعة</t>
  </si>
  <si>
    <t>للحشوة المتطاولة</t>
  </si>
  <si>
    <t>اذا كان lᴈ/dᴈ اكبر من 3 فالحشوة متطاولة وإلا فالحشوة مجمعة</t>
  </si>
  <si>
    <t>Cэф1= Cэф/lᴈ</t>
  </si>
  <si>
    <r>
      <t>lᴈ=dᴈ*(lᴈ/dᴈ)=0.95d</t>
    </r>
    <r>
      <rPr>
        <sz val="10"/>
        <color theme="1"/>
        <rFont val="Times New Roman"/>
        <family val="1"/>
      </rPr>
      <t>k</t>
    </r>
    <r>
      <rPr>
        <sz val="12"/>
        <color theme="1"/>
        <rFont val="Times New Roman"/>
        <family val="2"/>
      </rPr>
      <t>*(lᴈ/dᴈ)</t>
    </r>
  </si>
  <si>
    <t>نصف قطر جسم القنبلة, م</t>
  </si>
  <si>
    <t>زاوية سقوط القنبلة, درجة</t>
  </si>
  <si>
    <t>السرع الابتدائية لسقوط القنبلة, م/ث</t>
  </si>
  <si>
    <t>سماكة طبقة التمويه فوق البلاطة, م</t>
  </si>
  <si>
    <t>وزن الحشوة في القنبلة, كغ</t>
  </si>
  <si>
    <t>ارتفاع السقف, م</t>
  </si>
  <si>
    <t>المجاز الطويل, م</t>
  </si>
  <si>
    <t>المجاز القصير, م</t>
  </si>
  <si>
    <t>طول جسم القنبلة, م</t>
  </si>
  <si>
    <t>طول القنبلة العام , م</t>
  </si>
  <si>
    <t>السماكة المبدأية للجدار الخارجي, م</t>
  </si>
  <si>
    <t>السماكة المبدأية للجدار الداخلي, م</t>
  </si>
  <si>
    <t>السماكة المبدأية للأرضية, م</t>
  </si>
  <si>
    <t>السماكة المبدأية للسقف, م</t>
  </si>
  <si>
    <t>الوزن الحجمي للبيتون, كغ/م3</t>
  </si>
  <si>
    <t>عامل قوة المادة المتفجرة في القنبلة نسبة للتراتيل</t>
  </si>
  <si>
    <t>Cэф= 0.95*k1*C</t>
  </si>
  <si>
    <r>
      <rPr>
        <b/>
        <sz val="16"/>
        <color rgb="FFFF0000"/>
        <rFont val="Times New Roman"/>
        <family val="1"/>
      </rPr>
      <t>m</t>
    </r>
    <r>
      <rPr>
        <b/>
        <sz val="16"/>
        <color theme="1"/>
        <rFont val="Times New Roman"/>
        <family val="1"/>
      </rPr>
      <t xml:space="preserve"> </t>
    </r>
    <r>
      <rPr>
        <sz val="12"/>
        <color theme="1"/>
        <rFont val="Times New Roman"/>
        <family val="2"/>
      </rPr>
      <t>: هو عامل الدكة وهو يساوي 1.1 عندما تكون  سماكة طبقة التمويه اكبر من 0.5 متر ويكون مساويا 1 عندما تكون اصغر او تساوي 0.5متر</t>
    </r>
  </si>
  <si>
    <r>
      <rPr>
        <b/>
        <sz val="16"/>
        <color rgb="FFFFFF00"/>
        <rFont val="Times New Roman"/>
        <family val="1"/>
      </rPr>
      <t>k</t>
    </r>
    <r>
      <rPr>
        <b/>
        <sz val="10"/>
        <color rgb="FFFFFF00"/>
        <rFont val="Times New Roman"/>
        <family val="1"/>
      </rPr>
      <t>1</t>
    </r>
    <r>
      <rPr>
        <b/>
        <sz val="10"/>
        <color theme="1"/>
        <rFont val="Times New Roman"/>
        <family val="1"/>
      </rPr>
      <t>: عامل يتعلق بنوع المواد المتفجرة وهو لل ت ن ت يساوي 1.639 اي اقوى من التراتيل بهذا المقدار</t>
    </r>
  </si>
  <si>
    <t>m</t>
  </si>
  <si>
    <t>تحديد بروز بلاطة الحماية  Bt</t>
  </si>
  <si>
    <t>Bt =R0 +Zt, m</t>
  </si>
  <si>
    <t>انظر المخطط(1)</t>
  </si>
  <si>
    <t>بعد الجدار الآمن عن القنبلة</t>
  </si>
  <si>
    <r>
      <t>R</t>
    </r>
    <r>
      <rPr>
        <b/>
        <sz val="9"/>
        <color theme="1"/>
        <rFont val="Times New Roman"/>
        <family val="1"/>
      </rPr>
      <t>0</t>
    </r>
    <r>
      <rPr>
        <b/>
        <sz val="12"/>
        <color theme="1"/>
        <rFont val="Times New Roman"/>
        <family val="1"/>
      </rPr>
      <t xml:space="preserve"> = K</t>
    </r>
    <r>
      <rPr>
        <b/>
        <sz val="8"/>
        <color theme="1"/>
        <rFont val="Times New Roman"/>
        <family val="1"/>
      </rPr>
      <t xml:space="preserve"> kp.ct</t>
    </r>
    <r>
      <rPr>
        <b/>
        <sz val="12"/>
        <color theme="1"/>
        <rFont val="Times New Roman"/>
        <family val="1"/>
      </rPr>
      <t>*Z</t>
    </r>
    <r>
      <rPr>
        <b/>
        <sz val="9"/>
        <color theme="1"/>
        <rFont val="Times New Roman"/>
        <family val="1"/>
      </rPr>
      <t>p.г</t>
    </r>
    <r>
      <rPr>
        <b/>
        <sz val="12"/>
        <color theme="1"/>
        <rFont val="Times New Roman"/>
        <family val="1"/>
      </rPr>
      <t>p, m</t>
    </r>
  </si>
  <si>
    <t>نصف قطر التدمير في التربة</t>
  </si>
  <si>
    <r>
      <t>Z</t>
    </r>
    <r>
      <rPr>
        <b/>
        <sz val="9"/>
        <color theme="1"/>
        <rFont val="Times New Roman"/>
        <family val="1"/>
      </rPr>
      <t>p.гp</t>
    </r>
    <r>
      <rPr>
        <b/>
        <sz val="12"/>
        <color theme="1"/>
        <rFont val="Times New Roman"/>
        <family val="1"/>
      </rPr>
      <t>=  m</t>
    </r>
    <r>
      <rPr>
        <b/>
        <sz val="8"/>
        <color theme="1"/>
        <rFont val="Times New Roman"/>
        <family val="1"/>
      </rPr>
      <t>1</t>
    </r>
    <r>
      <rPr>
        <b/>
        <sz val="12"/>
        <color theme="1"/>
        <rFont val="Times New Roman"/>
        <family val="1"/>
      </rPr>
      <t>*K</t>
    </r>
    <r>
      <rPr>
        <b/>
        <sz val="9"/>
        <color theme="1"/>
        <rFont val="Times New Roman"/>
        <family val="1"/>
      </rPr>
      <t>p.гp</t>
    </r>
    <r>
      <rPr>
        <b/>
        <sz val="12"/>
        <color theme="1"/>
        <rFont val="Times New Roman"/>
        <family val="1"/>
      </rPr>
      <t>*(Cэф)^0.3333, m</t>
    </r>
  </si>
  <si>
    <t>عامل تصدع البيتون من الجهة المعاكسة للانفجار</t>
  </si>
  <si>
    <t>عامل تصدع التربة من الجهة المعاكسة للانفجار</t>
  </si>
  <si>
    <t>عامل يتعلقق بطبيعة جدار المنشأة</t>
  </si>
  <si>
    <t xml:space="preserve">عامل يتعلقق بطبيعة التربة المخترقة </t>
  </si>
  <si>
    <r>
      <t xml:space="preserve">    K</t>
    </r>
    <r>
      <rPr>
        <sz val="9"/>
        <color theme="1"/>
        <rFont val="Times New Roman"/>
        <family val="1"/>
      </rPr>
      <t>p.гp</t>
    </r>
    <r>
      <rPr>
        <sz val="12"/>
        <color theme="1"/>
        <rFont val="Times New Roman"/>
        <family val="2"/>
      </rPr>
      <t>: معامل التدمير للتربة ص 32</t>
    </r>
  </si>
  <si>
    <r>
      <t xml:space="preserve"> ان</t>
    </r>
    <r>
      <rPr>
        <b/>
        <sz val="12"/>
        <color theme="1"/>
        <rFont val="Times New Roman"/>
        <family val="1"/>
      </rPr>
      <t xml:space="preserve"> m</t>
    </r>
    <r>
      <rPr>
        <b/>
        <sz val="9"/>
        <color theme="1"/>
        <rFont val="Times New Roman"/>
        <family val="1"/>
      </rPr>
      <t>1</t>
    </r>
    <r>
      <rPr>
        <sz val="12"/>
        <color theme="1"/>
        <rFont val="Times New Roman"/>
        <family val="2"/>
      </rPr>
      <t xml:space="preserve"> هو عامل بطبيعة الاختراق في التربة فللتربة الهشة يساوي </t>
    </r>
    <r>
      <rPr>
        <b/>
        <sz val="12"/>
        <color theme="1"/>
        <rFont val="Times New Roman"/>
        <family val="1"/>
      </rPr>
      <t>1.65</t>
    </r>
    <r>
      <rPr>
        <sz val="12"/>
        <color theme="1"/>
        <rFont val="Times New Roman"/>
        <family val="2"/>
      </rPr>
      <t xml:space="preserve"> وللمتماسكة </t>
    </r>
    <r>
      <rPr>
        <b/>
        <sz val="12"/>
        <color theme="1"/>
        <rFont val="Times New Roman"/>
        <family val="1"/>
      </rPr>
      <t>1.5</t>
    </r>
  </si>
  <si>
    <r>
      <rPr>
        <b/>
        <sz val="14"/>
        <color theme="1"/>
        <rFont val="Times New Roman"/>
        <family val="1"/>
      </rPr>
      <t>Z</t>
    </r>
    <r>
      <rPr>
        <sz val="12"/>
        <color theme="1"/>
        <rFont val="Times New Roman"/>
        <family val="2"/>
      </rPr>
      <t xml:space="preserve">t = </t>
    </r>
    <r>
      <rPr>
        <b/>
        <sz val="14"/>
        <color theme="1"/>
        <rFont val="Times New Roman"/>
        <family val="1"/>
      </rPr>
      <t>h</t>
    </r>
    <r>
      <rPr>
        <sz val="10"/>
        <color theme="1"/>
        <rFont val="Times New Roman"/>
        <family val="1"/>
      </rPr>
      <t>пр.г</t>
    </r>
    <r>
      <rPr>
        <sz val="12"/>
        <color theme="1"/>
        <rFont val="Times New Roman"/>
        <family val="1"/>
      </rPr>
      <t>*</t>
    </r>
    <r>
      <rPr>
        <b/>
        <sz val="14"/>
        <color theme="1"/>
        <rFont val="Times New Roman"/>
        <family val="1"/>
      </rPr>
      <t>t</t>
    </r>
    <r>
      <rPr>
        <b/>
        <sz val="12"/>
        <color theme="1"/>
        <rFont val="Times New Roman"/>
        <family val="1"/>
      </rPr>
      <t>n</t>
    </r>
    <r>
      <rPr>
        <sz val="12"/>
        <color theme="1"/>
        <rFont val="Times New Roman"/>
        <family val="1"/>
      </rPr>
      <t>(α), m</t>
    </r>
  </si>
  <si>
    <t>مقدار انحراف القنبلة عن حرف البلاطة</t>
  </si>
  <si>
    <t>عمق الاختراق في التربة</t>
  </si>
  <si>
    <r>
      <t>ان  λ</t>
    </r>
    <r>
      <rPr>
        <sz val="10"/>
        <color theme="1"/>
        <rFont val="Times New Roman"/>
        <family val="1"/>
      </rPr>
      <t>1</t>
    </r>
    <r>
      <rPr>
        <sz val="12"/>
        <color theme="1"/>
        <rFont val="Times New Roman"/>
        <family val="2"/>
      </rPr>
      <t xml:space="preserve"> وλ</t>
    </r>
    <r>
      <rPr>
        <sz val="10"/>
        <color theme="1"/>
        <rFont val="Times New Roman"/>
        <family val="1"/>
      </rPr>
      <t>2</t>
    </r>
    <r>
      <rPr>
        <sz val="12"/>
        <color theme="1"/>
        <rFont val="Times New Roman"/>
        <family val="2"/>
      </rPr>
      <t xml:space="preserve"> عوامل تتعلق بالقنبلة</t>
    </r>
  </si>
  <si>
    <r>
      <t xml:space="preserve"> λ1= 0.5+0.4*(lгч/d)^</t>
    </r>
    <r>
      <rPr>
        <sz val="9"/>
        <color theme="1"/>
        <rFont val="Times New Roman"/>
        <family val="1"/>
      </rPr>
      <t>0.666</t>
    </r>
  </si>
  <si>
    <r>
      <t>λ2 = 2.8*{(d)^</t>
    </r>
    <r>
      <rPr>
        <sz val="10"/>
        <color theme="1"/>
        <rFont val="Times New Roman"/>
        <family val="1"/>
      </rPr>
      <t>0.33</t>
    </r>
    <r>
      <rPr>
        <sz val="12"/>
        <color theme="1"/>
        <rFont val="Times New Roman"/>
        <family val="2"/>
      </rPr>
      <t>}-1.3*{(d)^</t>
    </r>
    <r>
      <rPr>
        <sz val="10"/>
        <color theme="1"/>
        <rFont val="Times New Roman"/>
        <family val="1"/>
      </rPr>
      <t>0.5</t>
    </r>
    <r>
      <rPr>
        <sz val="12"/>
        <color theme="1"/>
        <rFont val="Times New Roman"/>
        <family val="2"/>
      </rPr>
      <t>}</t>
    </r>
  </si>
  <si>
    <r>
      <rPr>
        <b/>
        <sz val="14"/>
        <color theme="1"/>
        <rFont val="Times New Roman"/>
        <family val="1"/>
      </rPr>
      <t>h</t>
    </r>
    <r>
      <rPr>
        <sz val="10"/>
        <color theme="1"/>
        <rFont val="Times New Roman"/>
        <family val="1"/>
      </rPr>
      <t>пр.г</t>
    </r>
    <r>
      <rPr>
        <sz val="12"/>
        <color theme="1"/>
        <rFont val="Times New Roman"/>
        <family val="2"/>
      </rPr>
      <t xml:space="preserve"> = </t>
    </r>
    <r>
      <rPr>
        <sz val="14"/>
        <color theme="1"/>
        <rFont val="Times New Roman"/>
        <family val="1"/>
      </rPr>
      <t>λ</t>
    </r>
    <r>
      <rPr>
        <sz val="9"/>
        <color theme="1"/>
        <rFont val="Times New Roman"/>
        <family val="1"/>
      </rPr>
      <t>1</t>
    </r>
    <r>
      <rPr>
        <sz val="12"/>
        <color theme="1"/>
        <rFont val="Times New Roman"/>
        <family val="2"/>
      </rPr>
      <t>*</t>
    </r>
    <r>
      <rPr>
        <sz val="14"/>
        <color theme="1"/>
        <rFont val="Times New Roman"/>
        <family val="1"/>
      </rPr>
      <t>λ</t>
    </r>
    <r>
      <rPr>
        <sz val="9"/>
        <color theme="1"/>
        <rFont val="Times New Roman"/>
        <family val="1"/>
      </rPr>
      <t>2</t>
    </r>
    <r>
      <rPr>
        <sz val="12"/>
        <color theme="1"/>
        <rFont val="Times New Roman"/>
        <family val="2"/>
      </rPr>
      <t>*</t>
    </r>
    <r>
      <rPr>
        <sz val="14"/>
        <color theme="1"/>
        <rFont val="Times New Roman"/>
        <family val="1"/>
      </rPr>
      <t>k</t>
    </r>
    <r>
      <rPr>
        <sz val="10"/>
        <color theme="1"/>
        <rFont val="Times New Roman"/>
        <family val="1"/>
      </rPr>
      <t>пр.г*</t>
    </r>
    <r>
      <rPr>
        <sz val="14"/>
        <color theme="1"/>
        <rFont val="Times New Roman"/>
        <family val="1"/>
      </rPr>
      <t>p/(d)^</t>
    </r>
    <r>
      <rPr>
        <sz val="11"/>
        <color theme="1"/>
        <rFont val="Times New Roman"/>
        <family val="1"/>
      </rPr>
      <t>2</t>
    </r>
    <r>
      <rPr>
        <sz val="14"/>
        <color theme="1"/>
        <rFont val="Times New Roman"/>
        <family val="1"/>
      </rPr>
      <t>*V*COSα, m</t>
    </r>
  </si>
  <si>
    <r>
      <t xml:space="preserve">للقنابل الغير الموجهة V تساوي 250-300 م/ثا  اما </t>
    </r>
    <r>
      <rPr>
        <sz val="12"/>
        <color theme="1"/>
        <rFont val="Times New Roman"/>
        <family val="1"/>
      </rPr>
      <t>α</t>
    </r>
    <r>
      <rPr>
        <sz val="12"/>
        <color theme="1"/>
        <rFont val="Times New Roman"/>
        <family val="2"/>
      </rPr>
      <t xml:space="preserve"> فتساوي 20-30 درجة</t>
    </r>
  </si>
  <si>
    <t>اما للقنابل الموجهة فحسب الجدول</t>
  </si>
  <si>
    <t>V</t>
  </si>
  <si>
    <t>300-400</t>
  </si>
  <si>
    <t>400-600</t>
  </si>
  <si>
    <t>790-940</t>
  </si>
  <si>
    <t>25-40</t>
  </si>
  <si>
    <t>30-45</t>
  </si>
  <si>
    <t>40-60</t>
  </si>
  <si>
    <t>للصواريخ</t>
  </si>
  <si>
    <t xml:space="preserve"> درجة,α</t>
  </si>
  <si>
    <t xml:space="preserve"> م/ثا ,V</t>
  </si>
  <si>
    <r>
      <t>: عامل يتعلق بطبيعة جدار المنشأة من الصفحة 162 الجدول 25 K</t>
    </r>
    <r>
      <rPr>
        <sz val="10"/>
        <color theme="1"/>
        <rFont val="Times New Roman"/>
        <family val="1"/>
      </rPr>
      <t>kp.ct</t>
    </r>
  </si>
  <si>
    <r>
      <t xml:space="preserve">تحديد سماكة طبقة توزيع الضغط  </t>
    </r>
    <r>
      <rPr>
        <b/>
        <sz val="14"/>
        <color theme="1"/>
        <rFont val="Times New Roman"/>
        <family val="1"/>
      </rPr>
      <t>H</t>
    </r>
    <r>
      <rPr>
        <b/>
        <sz val="12"/>
        <color theme="1"/>
        <rFont val="Times New Roman"/>
        <family val="1"/>
      </rPr>
      <t>pc</t>
    </r>
  </si>
  <si>
    <r>
      <rPr>
        <b/>
        <sz val="16"/>
        <color theme="1"/>
        <rFont val="Times New Roman"/>
        <family val="1"/>
      </rPr>
      <t>r</t>
    </r>
    <r>
      <rPr>
        <sz val="12"/>
        <color theme="1"/>
        <rFont val="Times New Roman"/>
        <family val="2"/>
      </rPr>
      <t xml:space="preserve">вt= m </t>
    </r>
    <r>
      <rPr>
        <sz val="16"/>
        <color theme="1"/>
        <rFont val="Times New Roman"/>
        <family val="1"/>
      </rPr>
      <t>k</t>
    </r>
    <r>
      <rPr>
        <sz val="12"/>
        <color theme="1"/>
        <rFont val="Times New Roman"/>
        <family val="2"/>
      </rPr>
      <t>вt.</t>
    </r>
    <r>
      <rPr>
        <sz val="12"/>
        <color theme="1"/>
        <rFont val="Times New Roman"/>
        <family val="1"/>
      </rPr>
      <t>бt(</t>
    </r>
    <r>
      <rPr>
        <sz val="12"/>
        <color theme="1"/>
        <rFont val="Times New Roman"/>
        <family val="2"/>
      </rPr>
      <t xml:space="preserve"> </t>
    </r>
    <r>
      <rPr>
        <sz val="16"/>
        <color theme="1"/>
        <rFont val="Times New Roman"/>
        <family val="1"/>
      </rPr>
      <t>(C</t>
    </r>
    <r>
      <rPr>
        <sz val="12"/>
        <color theme="1"/>
        <rFont val="Times New Roman"/>
        <family val="1"/>
      </rPr>
      <t>эф</t>
    </r>
    <r>
      <rPr>
        <sz val="16"/>
        <color theme="1"/>
        <rFont val="Times New Roman"/>
        <family val="1"/>
      </rPr>
      <t>)</t>
    </r>
    <r>
      <rPr>
        <sz val="10"/>
        <color theme="1"/>
        <rFont val="Times New Roman"/>
        <family val="1"/>
      </rPr>
      <t>^0.3333)</t>
    </r>
  </si>
  <si>
    <t>البلاطة</t>
  </si>
  <si>
    <t>R0=1.25*Zp.pc</t>
  </si>
  <si>
    <r>
      <t>Zp.pc=m*Kp.pc*(C</t>
    </r>
    <r>
      <rPr>
        <sz val="12"/>
        <color theme="1"/>
        <rFont val="Times New Roman"/>
        <family val="1"/>
      </rPr>
      <t>эф</t>
    </r>
    <r>
      <rPr>
        <sz val="12"/>
        <color theme="1"/>
        <rFont val="Times New Roman"/>
        <family val="2"/>
      </rPr>
      <t>)^</t>
    </r>
    <r>
      <rPr>
        <sz val="9"/>
        <color theme="1"/>
        <rFont val="Times New Roman"/>
        <family val="1"/>
      </rPr>
      <t>0.333</t>
    </r>
  </si>
  <si>
    <t>حساب الحمولات على السقف</t>
  </si>
  <si>
    <r>
      <t>حساب التوتر الاعظمي في موجة الضغط maxб</t>
    </r>
    <r>
      <rPr>
        <b/>
        <sz val="10"/>
        <color theme="1"/>
        <rFont val="Times New Roman"/>
        <family val="1"/>
      </rPr>
      <t>в</t>
    </r>
  </si>
  <si>
    <r>
      <t xml:space="preserve">                                                          maxбв=A*(R</t>
    </r>
    <r>
      <rPr>
        <sz val="12"/>
        <color theme="1"/>
        <rFont val="Times New Roman"/>
        <family val="1"/>
      </rPr>
      <t>־)^</t>
    </r>
    <r>
      <rPr>
        <sz val="9"/>
        <color theme="1"/>
        <rFont val="Times New Roman"/>
        <family val="1"/>
      </rPr>
      <t>-n1</t>
    </r>
  </si>
  <si>
    <r>
      <t xml:space="preserve">                                                          maxбв=0.6*m*A*(R</t>
    </r>
    <r>
      <rPr>
        <sz val="12"/>
        <color theme="1"/>
        <rFont val="Times New Roman"/>
        <family val="1"/>
      </rPr>
      <t>־)^</t>
    </r>
    <r>
      <rPr>
        <sz val="9"/>
        <color theme="1"/>
        <rFont val="Times New Roman"/>
        <family val="1"/>
      </rPr>
      <t>-n1</t>
    </r>
  </si>
  <si>
    <r>
      <t>if h</t>
    </r>
    <r>
      <rPr>
        <sz val="12"/>
        <color theme="1"/>
        <rFont val="Times New Roman"/>
        <family val="1"/>
      </rPr>
      <t>־ᴈ</t>
    </r>
    <r>
      <rPr>
        <sz val="12"/>
        <color theme="1"/>
        <rFont val="Times New Roman"/>
        <family val="2"/>
      </rPr>
      <t xml:space="preserve"> &gt;= 0.7</t>
    </r>
  </si>
  <si>
    <r>
      <t>if h</t>
    </r>
    <r>
      <rPr>
        <sz val="12"/>
        <color theme="1"/>
        <rFont val="Times New Roman"/>
        <family val="1"/>
      </rPr>
      <t>־ᴈ</t>
    </r>
    <r>
      <rPr>
        <sz val="12"/>
        <color theme="1"/>
        <rFont val="Times New Roman"/>
        <family val="2"/>
      </rPr>
      <t xml:space="preserve"> &lt; 0.7</t>
    </r>
  </si>
  <si>
    <r>
      <t>h־ᴈ =h</t>
    </r>
    <r>
      <rPr>
        <sz val="12"/>
        <color theme="1"/>
        <rFont val="Times New Roman"/>
        <family val="1"/>
      </rPr>
      <t>ᴈ</t>
    </r>
    <r>
      <rPr>
        <sz val="12"/>
        <color theme="1"/>
        <rFont val="Times New Roman"/>
        <family val="2"/>
      </rPr>
      <t>/(C</t>
    </r>
    <r>
      <rPr>
        <sz val="12"/>
        <color theme="1"/>
        <rFont val="Times New Roman"/>
        <family val="1"/>
      </rPr>
      <t>эф</t>
    </r>
    <r>
      <rPr>
        <sz val="12"/>
        <color theme="1"/>
        <rFont val="Times New Roman"/>
        <family val="2"/>
      </rPr>
      <t>)^</t>
    </r>
    <r>
      <rPr>
        <sz val="9"/>
        <color theme="1"/>
        <rFont val="Times New Roman"/>
        <family val="1"/>
      </rPr>
      <t>0.333</t>
    </r>
    <r>
      <rPr>
        <sz val="12"/>
        <color theme="1"/>
        <rFont val="Times New Roman"/>
        <family val="2"/>
      </rPr>
      <t xml:space="preserve"> </t>
    </r>
  </si>
  <si>
    <r>
      <t>R־=R</t>
    </r>
    <r>
      <rPr>
        <sz val="12"/>
        <color theme="1"/>
        <rFont val="Times New Roman"/>
        <family val="1"/>
      </rPr>
      <t>эkв/(Cэф)^</t>
    </r>
    <r>
      <rPr>
        <sz val="10"/>
        <color theme="1"/>
        <rFont val="Times New Roman"/>
        <family val="1"/>
      </rPr>
      <t>0.333</t>
    </r>
  </si>
  <si>
    <t xml:space="preserve"> </t>
  </si>
  <si>
    <t xml:space="preserve">التوتر الاعظمي(maxбв)  كغ/سم2(انظر المخطط1) المؤثر على السقف  متعلق بالعاملين (A) و(n1) من الصفحة 78 اما القيمة (٭־ R) فتأحذ من الصفحة 78 ايضا, وفي المحصلة يجب ان تكون  Rэkв  &gt; ٭R   وهذا يعني تصاعد في الضغط </t>
  </si>
  <si>
    <t>وتحديد نوع الموجة</t>
  </si>
  <si>
    <t>A</t>
  </si>
  <si>
    <t>معامل تدمير طبقة توزيع الضغط</t>
  </si>
  <si>
    <r>
      <t>R</t>
    </r>
    <r>
      <rPr>
        <sz val="12"/>
        <color theme="1"/>
        <rFont val="Times New Roman"/>
        <family val="1"/>
      </rPr>
      <t>٭</t>
    </r>
    <r>
      <rPr>
        <sz val="12"/>
        <color theme="1"/>
        <rFont val="Times New Roman"/>
        <family val="2"/>
      </rPr>
      <t>=R</t>
    </r>
    <r>
      <rPr>
        <sz val="9"/>
        <color theme="1"/>
        <rFont val="Times New Roman"/>
        <family val="1"/>
      </rPr>
      <t>٭־</t>
    </r>
    <r>
      <rPr>
        <sz val="12"/>
        <color theme="1"/>
        <rFont val="Times New Roman"/>
        <family val="1"/>
      </rPr>
      <t xml:space="preserve"> </t>
    </r>
    <r>
      <rPr>
        <sz val="8"/>
        <color theme="1"/>
        <rFont val="Times New Roman"/>
        <family val="1"/>
      </rPr>
      <t>п</t>
    </r>
    <r>
      <rPr>
        <sz val="12"/>
        <color theme="1"/>
        <rFont val="Times New Roman"/>
        <family val="1"/>
      </rPr>
      <t>.</t>
    </r>
    <r>
      <rPr>
        <sz val="12"/>
        <color theme="1"/>
        <rFont val="Times New Roman"/>
        <family val="2"/>
      </rPr>
      <t>(Cэф)^</t>
    </r>
    <r>
      <rPr>
        <sz val="10"/>
        <color theme="1"/>
        <rFont val="Times New Roman"/>
        <family val="1"/>
      </rPr>
      <t>0.333</t>
    </r>
  </si>
  <si>
    <t>Kt.п</t>
  </si>
  <si>
    <r>
      <rPr>
        <b/>
        <sz val="16"/>
        <color theme="1"/>
        <rFont val="Times New Roman"/>
        <family val="1"/>
      </rPr>
      <t>k</t>
    </r>
    <r>
      <rPr>
        <b/>
        <sz val="10"/>
        <color theme="1"/>
        <rFont val="Times New Roman"/>
        <family val="1"/>
      </rPr>
      <t>ot</t>
    </r>
    <r>
      <rPr>
        <b/>
        <sz val="12"/>
        <color theme="1"/>
        <rFont val="Times New Roman"/>
        <family val="1"/>
      </rPr>
      <t>.бt</t>
    </r>
  </si>
  <si>
    <r>
      <t>k</t>
    </r>
    <r>
      <rPr>
        <b/>
        <sz val="10"/>
        <color theme="1"/>
        <rFont val="Times New Roman"/>
        <family val="1"/>
      </rPr>
      <t>ot</t>
    </r>
    <r>
      <rPr>
        <b/>
        <sz val="9"/>
        <color theme="1"/>
        <rFont val="Times New Roman"/>
        <family val="1"/>
      </rPr>
      <t>.г</t>
    </r>
  </si>
  <si>
    <r>
      <t>m</t>
    </r>
    <r>
      <rPr>
        <b/>
        <sz val="9"/>
        <color theme="1"/>
        <rFont val="Times New Roman"/>
        <family val="1"/>
      </rPr>
      <t>1</t>
    </r>
  </si>
  <si>
    <t>عامل متعلق ب (־hᴈ) للسقف</t>
  </si>
  <si>
    <t xml:space="preserve">متعلق بتربة توزيع الضغط وتوضع قيمتها لاحقا بعد حساب ᴈ־hمن الفقرة5.1 </t>
  </si>
  <si>
    <t>kg/cm2</t>
  </si>
  <si>
    <t>maxбв=</t>
  </si>
  <si>
    <t>تقييم طبيعة الموجة</t>
  </si>
  <si>
    <t>مع مرور الزمن حسب الشكل 1 في الاسفل وإلا عند Rэkв  &lt; ٭R  سيكون  الضغط على شكل موجة ضاربة لحظي وغير متعلق بالزمن وهذا غير مرغوب فيه وبالاساس توضع طبقة توزيع الضغط وكذلك بلاطة الحماية لتفادي الوقوع في هذه الحالة</t>
  </si>
  <si>
    <t>Rэkв  &gt; ٭R  , الشرط محقق</t>
  </si>
  <si>
    <t xml:space="preserve"> Rэkв &lt; ٭R,الشرط غير محقق </t>
  </si>
  <si>
    <r>
      <t>حساب الزمن الفعال لتأثير الموجة (</t>
    </r>
    <r>
      <rPr>
        <b/>
        <sz val="14"/>
        <color theme="1"/>
        <rFont val="Times New Roman"/>
        <family val="1"/>
      </rPr>
      <t>τ</t>
    </r>
    <r>
      <rPr>
        <b/>
        <sz val="10"/>
        <color theme="1"/>
        <rFont val="Times New Roman"/>
        <family val="1"/>
      </rPr>
      <t>эф</t>
    </r>
    <r>
      <rPr>
        <b/>
        <sz val="11"/>
        <color theme="1"/>
        <rFont val="Times New Roman"/>
        <family val="1"/>
      </rPr>
      <t>)</t>
    </r>
  </si>
  <si>
    <r>
      <t>حساب الزمن الكلي لتأثير الموجة (</t>
    </r>
    <r>
      <rPr>
        <b/>
        <sz val="14"/>
        <color theme="1"/>
        <rFont val="Times New Roman"/>
        <family val="1"/>
      </rPr>
      <t>τ</t>
    </r>
    <r>
      <rPr>
        <b/>
        <sz val="11"/>
        <color theme="1"/>
        <rFont val="Times New Roman"/>
        <family val="1"/>
      </rPr>
      <t>)</t>
    </r>
  </si>
  <si>
    <r>
      <rPr>
        <sz val="16"/>
        <color theme="1"/>
        <rFont val="Times New Roman"/>
        <family val="1"/>
      </rPr>
      <t>τ</t>
    </r>
    <r>
      <rPr>
        <sz val="12"/>
        <color theme="1"/>
        <rFont val="Times New Roman"/>
        <family val="1"/>
      </rPr>
      <t xml:space="preserve"> </t>
    </r>
    <r>
      <rPr>
        <sz val="12"/>
        <color theme="1"/>
        <rFont val="Times New Roman"/>
        <family val="2"/>
      </rPr>
      <t xml:space="preserve">= </t>
    </r>
    <r>
      <rPr>
        <sz val="12"/>
        <color theme="1"/>
        <rFont val="Times New Roman"/>
        <family val="1"/>
      </rPr>
      <t>μ</t>
    </r>
    <r>
      <rPr>
        <sz val="12"/>
        <color theme="1"/>
        <rFont val="Times New Roman"/>
        <family val="2"/>
      </rPr>
      <t>(Cэф)^</t>
    </r>
    <r>
      <rPr>
        <sz val="9"/>
        <color theme="1"/>
        <rFont val="Times New Roman"/>
        <family val="1"/>
      </rPr>
      <t>0.333</t>
    </r>
    <r>
      <rPr>
        <sz val="12"/>
        <color theme="1"/>
        <rFont val="Times New Roman"/>
        <family val="2"/>
      </rPr>
      <t xml:space="preserve"> + </t>
    </r>
    <r>
      <rPr>
        <sz val="12"/>
        <color theme="1"/>
        <rFont val="Times New Roman"/>
        <family val="1"/>
      </rPr>
      <t>η.Rэkв</t>
    </r>
  </si>
  <si>
    <t>0.375 &gt;= R־</t>
  </si>
  <si>
    <t>0.375 &lt; R־</t>
  </si>
  <si>
    <t>τ =</t>
  </si>
  <si>
    <t>τэф/τ</t>
  </si>
  <si>
    <t>maxбв</t>
  </si>
  <si>
    <t>τэф = τ*(0.0008*((maxбв)^2)-0.0384*maxбв +1.0013)</t>
  </si>
  <si>
    <r>
      <t xml:space="preserve">حيث </t>
    </r>
    <r>
      <rPr>
        <sz val="16"/>
        <color theme="1"/>
        <rFont val="Times New Roman"/>
        <family val="1"/>
      </rPr>
      <t>n</t>
    </r>
    <r>
      <rPr>
        <sz val="12"/>
        <color theme="1"/>
        <rFont val="Times New Roman"/>
        <family val="2"/>
      </rPr>
      <t>0 عامل احتياط يؤخذ من الجدول رقم (1),</t>
    </r>
    <r>
      <rPr>
        <sz val="16"/>
        <color theme="1"/>
        <rFont val="Times New Roman"/>
        <family val="1"/>
      </rPr>
      <t>r</t>
    </r>
    <r>
      <rPr>
        <sz val="12"/>
        <color theme="1"/>
        <rFont val="Times New Roman"/>
        <family val="2"/>
      </rPr>
      <t>вt: نصف قطر الحفرة المتكونة</t>
    </r>
  </si>
  <si>
    <t>تساوي نصف قطر الامان من التدمير مطروحا منه سماكة البلاطة مضروبة بعامل التدمير لطبقة توزيع الضغط مقسوم على عامل التدمير للبلاطة البيتونية مطروحا بعد مركز القنبلة عن سطح البلاطة</t>
  </si>
  <si>
    <r>
      <t xml:space="preserve">حساب الزمن التصاعدي لقيمة الضغط في الموجة </t>
    </r>
    <r>
      <rPr>
        <b/>
        <sz val="16"/>
        <color theme="1"/>
        <rFont val="Times New Roman"/>
        <family val="1"/>
      </rPr>
      <t>τ</t>
    </r>
    <r>
      <rPr>
        <b/>
        <sz val="12"/>
        <color theme="1"/>
        <rFont val="Times New Roman"/>
        <family val="1"/>
      </rPr>
      <t>н</t>
    </r>
  </si>
  <si>
    <r>
      <rPr>
        <b/>
        <sz val="16"/>
        <color theme="1"/>
        <rFont val="Times New Roman"/>
        <family val="1"/>
      </rPr>
      <t>τ</t>
    </r>
    <r>
      <rPr>
        <sz val="12"/>
        <color theme="1"/>
        <rFont val="Times New Roman"/>
        <family val="1"/>
      </rPr>
      <t>н</t>
    </r>
    <r>
      <rPr>
        <sz val="12"/>
        <color theme="1"/>
        <rFont val="Times New Roman"/>
        <family val="2"/>
      </rPr>
      <t xml:space="preserve"> ={(</t>
    </r>
    <r>
      <rPr>
        <sz val="14"/>
        <color theme="1"/>
        <rFont val="Times New Roman"/>
        <family val="1"/>
      </rPr>
      <t>a</t>
    </r>
    <r>
      <rPr>
        <sz val="9"/>
        <color theme="1"/>
        <rFont val="Times New Roman"/>
        <family val="1"/>
      </rPr>
      <t>0cp</t>
    </r>
    <r>
      <rPr>
        <sz val="12"/>
        <color theme="1"/>
        <rFont val="Times New Roman"/>
        <family val="2"/>
      </rPr>
      <t xml:space="preserve"> -</t>
    </r>
    <r>
      <rPr>
        <sz val="16"/>
        <color theme="1"/>
        <rFont val="Times New Roman"/>
        <family val="1"/>
      </rPr>
      <t>a</t>
    </r>
    <r>
      <rPr>
        <sz val="9"/>
        <color theme="1"/>
        <rFont val="Times New Roman"/>
        <family val="1"/>
      </rPr>
      <t>1cp</t>
    </r>
    <r>
      <rPr>
        <sz val="12"/>
        <color theme="1"/>
        <rFont val="Times New Roman"/>
        <family val="2"/>
      </rPr>
      <t>)/(</t>
    </r>
    <r>
      <rPr>
        <sz val="16"/>
        <color theme="1"/>
        <rFont val="Times New Roman"/>
        <family val="1"/>
      </rPr>
      <t>a</t>
    </r>
    <r>
      <rPr>
        <sz val="9"/>
        <color theme="1"/>
        <rFont val="Times New Roman"/>
        <family val="1"/>
      </rPr>
      <t>0cp</t>
    </r>
    <r>
      <rPr>
        <sz val="12"/>
        <color theme="1"/>
        <rFont val="Times New Roman"/>
        <family val="2"/>
      </rPr>
      <t>*</t>
    </r>
    <r>
      <rPr>
        <sz val="16"/>
        <color theme="1"/>
        <rFont val="Times New Roman"/>
        <family val="1"/>
      </rPr>
      <t>a</t>
    </r>
    <r>
      <rPr>
        <sz val="9"/>
        <color theme="1"/>
        <rFont val="Times New Roman"/>
        <family val="1"/>
      </rPr>
      <t>1cp</t>
    </r>
    <r>
      <rPr>
        <sz val="12"/>
        <color theme="1"/>
        <rFont val="Times New Roman"/>
        <family val="2"/>
      </rPr>
      <t>)}*{</t>
    </r>
    <r>
      <rPr>
        <sz val="16"/>
        <color theme="1"/>
        <rFont val="Times New Roman"/>
        <family val="1"/>
      </rPr>
      <t>R</t>
    </r>
    <r>
      <rPr>
        <sz val="9"/>
        <color theme="1"/>
        <rFont val="Times New Roman"/>
        <family val="1"/>
      </rPr>
      <t>экв</t>
    </r>
    <r>
      <rPr>
        <sz val="12"/>
        <color theme="1"/>
        <rFont val="Times New Roman"/>
        <family val="1"/>
      </rPr>
      <t>-</t>
    </r>
    <r>
      <rPr>
        <sz val="16"/>
        <color theme="1"/>
        <rFont val="Times New Roman"/>
        <family val="1"/>
      </rPr>
      <t>R</t>
    </r>
    <r>
      <rPr>
        <sz val="12"/>
        <color theme="1"/>
        <rFont val="Times New Roman"/>
        <family val="1"/>
      </rPr>
      <t>٭}</t>
    </r>
  </si>
  <si>
    <r>
      <t>Z</t>
    </r>
    <r>
      <rPr>
        <sz val="12"/>
        <color theme="1"/>
        <rFont val="Times New Roman"/>
        <family val="1"/>
      </rPr>
      <t>п</t>
    </r>
    <r>
      <rPr>
        <sz val="12"/>
        <color theme="1"/>
        <rFont val="Times New Roman"/>
        <family val="2"/>
      </rPr>
      <t xml:space="preserve"> = ho</t>
    </r>
    <r>
      <rPr>
        <sz val="12"/>
        <color theme="1"/>
        <rFont val="Times New Roman"/>
        <family val="1"/>
      </rPr>
      <t>б</t>
    </r>
    <r>
      <rPr>
        <sz val="12"/>
        <color theme="1"/>
        <rFont val="Times New Roman"/>
        <family val="2"/>
      </rPr>
      <t>c +ht +Hp.c</t>
    </r>
  </si>
  <si>
    <t>عمق توضع السقف</t>
  </si>
  <si>
    <t>a0cp = (a0 + a0z)/2</t>
  </si>
  <si>
    <t>a1cp = (a1 + a1z)/2</t>
  </si>
  <si>
    <t>بناء على قيمة (a0) وقيمة (Zп) من الرسم ص76 نجد قيمة (a0z) ونفس الكلام بالنسبة ل(a1z)</t>
  </si>
  <si>
    <t>m/s</t>
  </si>
  <si>
    <t>يوضع بعد حسابات 5.5</t>
  </si>
  <si>
    <t>s</t>
  </si>
  <si>
    <r>
      <t xml:space="preserve">حساب قيمة التواتر(الاهتزاز) </t>
    </r>
    <r>
      <rPr>
        <b/>
        <sz val="16"/>
        <color theme="1"/>
        <rFont val="Times New Roman"/>
        <family val="1"/>
      </rPr>
      <t>ω</t>
    </r>
  </si>
  <si>
    <r>
      <t>C=9.87*(1+(</t>
    </r>
    <r>
      <rPr>
        <sz val="12"/>
        <color theme="1"/>
        <rFont val="Times New Roman"/>
        <family val="1"/>
      </rPr>
      <t>η</t>
    </r>
    <r>
      <rPr>
        <sz val="12"/>
        <color theme="1"/>
        <rFont val="Times New Roman"/>
        <family val="2"/>
      </rPr>
      <t>)^2)</t>
    </r>
  </si>
  <si>
    <t>تمفصل</t>
  </si>
  <si>
    <t>وثاقة</t>
  </si>
  <si>
    <r>
      <t>C=22.37*{1+0.6*(</t>
    </r>
    <r>
      <rPr>
        <sz val="12"/>
        <color theme="1"/>
        <rFont val="Times New Roman"/>
        <family val="1"/>
      </rPr>
      <t>η</t>
    </r>
    <r>
      <rPr>
        <sz val="12"/>
        <color theme="1"/>
        <rFont val="Times New Roman"/>
        <family val="2"/>
      </rPr>
      <t>)^2 +(</t>
    </r>
    <r>
      <rPr>
        <sz val="12"/>
        <color theme="1"/>
        <rFont val="Times New Roman"/>
        <family val="1"/>
      </rPr>
      <t>η)</t>
    </r>
    <r>
      <rPr>
        <sz val="12"/>
        <color theme="1"/>
        <rFont val="Times New Roman"/>
        <family val="2"/>
      </rPr>
      <t>^4}^0.5</t>
    </r>
  </si>
  <si>
    <r>
      <rPr>
        <sz val="12"/>
        <color theme="1"/>
        <rFont val="Times New Roman"/>
        <family val="1"/>
      </rPr>
      <t>η</t>
    </r>
    <r>
      <rPr>
        <sz val="12"/>
        <color theme="1"/>
        <rFont val="Times New Roman"/>
        <family val="2"/>
      </rPr>
      <t>=bp/ap</t>
    </r>
  </si>
  <si>
    <t>ص85</t>
  </si>
  <si>
    <t>ψп</t>
  </si>
  <si>
    <r>
      <t>h0= H</t>
    </r>
    <r>
      <rPr>
        <sz val="12"/>
        <color theme="1"/>
        <rFont val="Times New Roman"/>
        <family val="1"/>
      </rPr>
      <t>п</t>
    </r>
    <r>
      <rPr>
        <sz val="12"/>
        <color theme="1"/>
        <rFont val="Times New Roman"/>
        <family val="2"/>
      </rPr>
      <t>-5cm</t>
    </r>
  </si>
  <si>
    <r>
      <t>Fa.s =100cm*h0cm*</t>
    </r>
    <r>
      <rPr>
        <sz val="12"/>
        <color theme="1"/>
        <rFont val="Times New Roman"/>
        <family val="1"/>
      </rPr>
      <t>ψ</t>
    </r>
  </si>
  <si>
    <t>ω={(1/ap)^2}*C*μ*{(B/me.д)^0.5}</t>
  </si>
  <si>
    <t>السقف مع الجدار</t>
  </si>
  <si>
    <t>وثاقة(1), متمفصل(2)</t>
  </si>
  <si>
    <t>cm</t>
  </si>
  <si>
    <t>μ=f(Hп/ap)</t>
  </si>
  <si>
    <t>C =</t>
  </si>
  <si>
    <t>مقاومة الحديد كغ/سم2</t>
  </si>
  <si>
    <t>مقاومة البيتون كغ/سم2</t>
  </si>
  <si>
    <r>
      <t>Rsd=Rs</t>
    </r>
    <r>
      <rPr>
        <sz val="8"/>
        <color theme="1"/>
        <rFont val="Times New Roman"/>
        <family val="1"/>
      </rPr>
      <t>H</t>
    </r>
    <r>
      <rPr>
        <sz val="12"/>
        <color theme="1"/>
        <rFont val="Times New Roman"/>
        <family val="2"/>
      </rPr>
      <t>*1.05*K</t>
    </r>
    <r>
      <rPr>
        <sz val="12"/>
        <color theme="1"/>
        <rFont val="Times New Roman"/>
        <family val="1"/>
      </rPr>
      <t>пοд</t>
    </r>
  </si>
  <si>
    <r>
      <t>Rbd=Rb</t>
    </r>
    <r>
      <rPr>
        <sz val="8"/>
        <color theme="1"/>
        <rFont val="Times New Roman"/>
        <family val="1"/>
      </rPr>
      <t>H</t>
    </r>
    <r>
      <rPr>
        <sz val="12"/>
        <color theme="1"/>
        <rFont val="Times New Roman"/>
        <family val="2"/>
      </rPr>
      <t>*Kпοд</t>
    </r>
  </si>
  <si>
    <r>
      <rPr>
        <b/>
        <sz val="14"/>
        <color theme="1"/>
        <rFont val="Times New Roman"/>
        <family val="1"/>
      </rPr>
      <t>γ</t>
    </r>
    <r>
      <rPr>
        <b/>
        <sz val="12"/>
        <color theme="1"/>
        <rFont val="Times New Roman"/>
        <family val="1"/>
      </rPr>
      <t>οбс</t>
    </r>
  </si>
  <si>
    <t>وزن حجمي لتربة الجدار, كغ/م3</t>
  </si>
  <si>
    <t>الوزن الحجمي لطبقة التمويه, كغ/م3</t>
  </si>
  <si>
    <r>
      <rPr>
        <b/>
        <sz val="14"/>
        <color theme="1"/>
        <rFont val="Times New Roman"/>
        <family val="1"/>
      </rPr>
      <t xml:space="preserve">γ </t>
    </r>
    <r>
      <rPr>
        <b/>
        <sz val="10"/>
        <color theme="1"/>
        <rFont val="Times New Roman"/>
        <family val="1"/>
      </rPr>
      <t>p.c</t>
    </r>
  </si>
  <si>
    <t>الوزن الحجمي لطبقة توزيع الضغط, كغ/م3</t>
  </si>
  <si>
    <t>μ= -1.255(Hп/ap)+1.1215</t>
  </si>
  <si>
    <t>τэф=</t>
  </si>
  <si>
    <t>0.2π/ω=</t>
  </si>
  <si>
    <t>التأكد من تحقيق الشرط  τэф&gt;=0.2π/ω</t>
  </si>
  <si>
    <t>حساب الحمولة الاعظمية  Pmax</t>
  </si>
  <si>
    <r>
      <t>Pmax = 2*K</t>
    </r>
    <r>
      <rPr>
        <sz val="12"/>
        <color theme="1"/>
        <rFont val="Times New Roman"/>
        <family val="1"/>
      </rPr>
      <t>п</t>
    </r>
    <r>
      <rPr>
        <sz val="12"/>
        <color theme="1"/>
        <rFont val="Times New Roman"/>
        <family val="2"/>
      </rPr>
      <t>*max</t>
    </r>
    <r>
      <rPr>
        <sz val="12"/>
        <color theme="1"/>
        <rFont val="Times New Roman"/>
        <family val="1"/>
      </rPr>
      <t>бв</t>
    </r>
  </si>
  <si>
    <t>λ=</t>
  </si>
  <si>
    <t>Fпοk =</t>
  </si>
  <si>
    <t>طول المنشأة,م</t>
  </si>
  <si>
    <t>عرض المنشأة,م</t>
  </si>
  <si>
    <t>m2</t>
  </si>
  <si>
    <t>وزن المنشأة ,طن</t>
  </si>
  <si>
    <t>t/m2</t>
  </si>
  <si>
    <t>يوضع بعد حسابات 5.7</t>
  </si>
  <si>
    <t>حساب الحمولة المكافئة    Pэкв</t>
  </si>
  <si>
    <r>
      <t>Pэкв= k</t>
    </r>
    <r>
      <rPr>
        <sz val="12"/>
        <color theme="1"/>
        <rFont val="Times New Roman"/>
        <family val="1"/>
      </rPr>
      <t>д</t>
    </r>
    <r>
      <rPr>
        <sz val="12"/>
        <color theme="1"/>
        <rFont val="Times New Roman"/>
        <family val="2"/>
      </rPr>
      <t>*k</t>
    </r>
    <r>
      <rPr>
        <sz val="12"/>
        <color theme="1"/>
        <rFont val="Times New Roman"/>
        <family val="1"/>
      </rPr>
      <t>ψ</t>
    </r>
    <r>
      <rPr>
        <sz val="12"/>
        <color theme="1"/>
        <rFont val="Times New Roman"/>
        <family val="2"/>
      </rPr>
      <t>*Pmax</t>
    </r>
  </si>
  <si>
    <r>
      <t>kд=f(</t>
    </r>
    <r>
      <rPr>
        <sz val="14"/>
        <color theme="1"/>
        <rFont val="Times New Roman"/>
        <family val="1"/>
      </rPr>
      <t>ω</t>
    </r>
    <r>
      <rPr>
        <sz val="12"/>
        <color theme="1"/>
        <rFont val="Times New Roman"/>
        <family val="1"/>
      </rPr>
      <t>.</t>
    </r>
    <r>
      <rPr>
        <sz val="14"/>
        <color theme="1"/>
        <rFont val="Times New Roman"/>
        <family val="1"/>
      </rPr>
      <t>τ</t>
    </r>
    <r>
      <rPr>
        <sz val="10"/>
        <color theme="1"/>
        <rFont val="Times New Roman"/>
        <family val="1"/>
      </rPr>
      <t>н</t>
    </r>
    <r>
      <rPr>
        <sz val="12"/>
        <color theme="1"/>
        <rFont val="Times New Roman"/>
        <family val="2"/>
      </rPr>
      <t>)</t>
    </r>
  </si>
  <si>
    <t>kψ=0.9</t>
  </si>
  <si>
    <r>
      <rPr>
        <sz val="14"/>
        <color theme="1"/>
        <rFont val="Times New Roman"/>
        <family val="1"/>
      </rPr>
      <t>ω</t>
    </r>
    <r>
      <rPr>
        <sz val="12"/>
        <color theme="1"/>
        <rFont val="Times New Roman"/>
        <family val="1"/>
      </rPr>
      <t>.</t>
    </r>
    <r>
      <rPr>
        <sz val="14"/>
        <color theme="1"/>
        <rFont val="Times New Roman"/>
        <family val="1"/>
      </rPr>
      <t>τ</t>
    </r>
    <r>
      <rPr>
        <sz val="10"/>
        <color theme="1"/>
        <rFont val="Times New Roman"/>
        <family val="1"/>
      </rPr>
      <t>н =</t>
    </r>
  </si>
  <si>
    <t>من ص 83 عند K=3</t>
  </si>
  <si>
    <t>معاما الديناميك يوضع بعد حسابات 5.9</t>
  </si>
  <si>
    <r>
      <t>حساب الحمولة الحسابية P</t>
    </r>
    <r>
      <rPr>
        <b/>
        <sz val="10"/>
        <color theme="1"/>
        <rFont val="Times New Roman"/>
        <family val="1"/>
      </rPr>
      <t>p</t>
    </r>
    <r>
      <rPr>
        <b/>
        <sz val="12"/>
        <color theme="1"/>
        <rFont val="Times New Roman"/>
        <family val="1"/>
      </rPr>
      <t xml:space="preserve"> </t>
    </r>
  </si>
  <si>
    <t>Pp = Pэкв+Pct</t>
  </si>
  <si>
    <t>شكل 1</t>
  </si>
  <si>
    <t>شكل 2</t>
  </si>
  <si>
    <t>شكل 3</t>
  </si>
  <si>
    <r>
      <t xml:space="preserve"> ان p وزن القنبلة و d قطرها اما V و </t>
    </r>
    <r>
      <rPr>
        <sz val="12"/>
        <color theme="1"/>
        <rFont val="Times New Roman"/>
        <family val="1"/>
      </rPr>
      <t>α</t>
    </r>
    <r>
      <rPr>
        <sz val="12"/>
        <color theme="1"/>
        <rFont val="Times New Roman"/>
        <family val="2"/>
      </rPr>
      <t xml:space="preserve"> يؤخذان من الجدول ادناه</t>
    </r>
  </si>
  <si>
    <t>جدول رقم 2</t>
  </si>
  <si>
    <t>جدول رقم3</t>
  </si>
  <si>
    <t>نوع المادة المتفجرة</t>
  </si>
  <si>
    <t>K1</t>
  </si>
  <si>
    <t>تريتونال 80-20</t>
  </si>
  <si>
    <t>خليط v</t>
  </si>
  <si>
    <t>تورليكس H6</t>
  </si>
  <si>
    <t>تريتونال 90/40</t>
  </si>
  <si>
    <t>ايدنالود</t>
  </si>
  <si>
    <t xml:space="preserve">لبلاطة  الحماية المصنوعة من البيتون المسلح </t>
  </si>
  <si>
    <t>بلاطة  حمايةمن البيتون العادي/او طبقة ترابية</t>
  </si>
  <si>
    <r>
      <rPr>
        <sz val="16"/>
        <color theme="1"/>
        <rFont val="Times New Roman"/>
        <family val="1"/>
      </rPr>
      <t>n</t>
    </r>
    <r>
      <rPr>
        <sz val="9"/>
        <color theme="1"/>
        <rFont val="Times New Roman"/>
        <family val="1"/>
      </rPr>
      <t>0=</t>
    </r>
  </si>
  <si>
    <t>V=</t>
  </si>
  <si>
    <t>α=</t>
  </si>
  <si>
    <t>K1=</t>
  </si>
  <si>
    <t>5,10</t>
  </si>
  <si>
    <t>kg.cm</t>
  </si>
  <si>
    <t>حساب سماكة السقف</t>
  </si>
  <si>
    <r>
      <t>H</t>
    </r>
    <r>
      <rPr>
        <sz val="12"/>
        <color theme="1"/>
        <rFont val="Times New Roman"/>
        <family val="1"/>
      </rPr>
      <t>п</t>
    </r>
    <r>
      <rPr>
        <sz val="12"/>
        <color theme="1"/>
        <rFont val="Times New Roman"/>
        <family val="2"/>
      </rPr>
      <t>=h0*1.05</t>
    </r>
  </si>
  <si>
    <r>
      <t>h0 =((Mp/0.94*</t>
    </r>
    <r>
      <rPr>
        <sz val="12"/>
        <color theme="1"/>
        <rFont val="Times New Roman"/>
        <family val="1"/>
      </rPr>
      <t>μ</t>
    </r>
    <r>
      <rPr>
        <sz val="12"/>
        <color theme="1"/>
        <rFont val="Times New Roman"/>
        <family val="2"/>
      </rPr>
      <t>*100*Rsd)^0.5</t>
    </r>
  </si>
  <si>
    <t>حساب العزم الاكبرMp  للسقف</t>
  </si>
  <si>
    <t>حساب الحمولات على الجدار</t>
  </si>
  <si>
    <t>انحراف مسقط تموضع مركز القنبلة عن مركز الجدار τθ</t>
  </si>
  <si>
    <r>
      <t>τθ = (Z-h</t>
    </r>
    <r>
      <rPr>
        <sz val="12"/>
        <color theme="1"/>
        <rFont val="Times New Roman"/>
        <family val="1"/>
      </rPr>
      <t>б</t>
    </r>
    <r>
      <rPr>
        <sz val="12"/>
        <color theme="1"/>
        <rFont val="Times New Roman"/>
        <family val="2"/>
      </rPr>
      <t>)/R0</t>
    </r>
  </si>
  <si>
    <r>
      <t>Z= ho</t>
    </r>
    <r>
      <rPr>
        <sz val="12"/>
        <color theme="1"/>
        <rFont val="Times New Roman"/>
        <family val="1"/>
      </rPr>
      <t>б</t>
    </r>
    <r>
      <rPr>
        <sz val="12"/>
        <color theme="1"/>
        <rFont val="Times New Roman"/>
        <family val="2"/>
      </rPr>
      <t>c+ ht+Hp.c+(a</t>
    </r>
    <r>
      <rPr>
        <sz val="12"/>
        <color theme="1"/>
        <rFont val="Times New Roman"/>
        <family val="1"/>
      </rPr>
      <t>э</t>
    </r>
    <r>
      <rPr>
        <sz val="12"/>
        <color theme="1"/>
        <rFont val="Times New Roman"/>
        <family val="2"/>
      </rPr>
      <t>t+H</t>
    </r>
    <r>
      <rPr>
        <sz val="12"/>
        <color theme="1"/>
        <rFont val="Times New Roman"/>
        <family val="1"/>
      </rPr>
      <t>п</t>
    </r>
    <r>
      <rPr>
        <sz val="12"/>
        <color theme="1"/>
        <rFont val="Times New Roman"/>
        <family val="2"/>
      </rPr>
      <t>+H</t>
    </r>
    <r>
      <rPr>
        <sz val="12"/>
        <color theme="1"/>
        <rFont val="Times New Roman"/>
        <family val="1"/>
      </rPr>
      <t>ф</t>
    </r>
    <r>
      <rPr>
        <sz val="12"/>
        <color theme="1"/>
        <rFont val="Times New Roman"/>
        <family val="2"/>
      </rPr>
      <t>)/2</t>
    </r>
  </si>
  <si>
    <r>
      <t>h</t>
    </r>
    <r>
      <rPr>
        <sz val="12"/>
        <color theme="1"/>
        <rFont val="Times New Roman"/>
        <family val="1"/>
      </rPr>
      <t>б</t>
    </r>
    <r>
      <rPr>
        <sz val="12"/>
        <color theme="1"/>
        <rFont val="Times New Roman"/>
        <family val="2"/>
      </rPr>
      <t xml:space="preserve"> = hnp+ht+ho</t>
    </r>
    <r>
      <rPr>
        <sz val="12"/>
        <color theme="1"/>
        <rFont val="Times New Roman"/>
        <family val="1"/>
      </rPr>
      <t>б</t>
    </r>
    <r>
      <rPr>
        <sz val="12"/>
        <color theme="1"/>
        <rFont val="Times New Roman"/>
        <family val="2"/>
      </rPr>
      <t>c-0.5l</t>
    </r>
    <r>
      <rPr>
        <sz val="8"/>
        <color theme="1"/>
        <rFont val="Times New Roman"/>
        <family val="1"/>
      </rPr>
      <t>k</t>
    </r>
    <r>
      <rPr>
        <sz val="12"/>
        <color theme="1"/>
        <rFont val="Times New Roman"/>
        <family val="2"/>
      </rPr>
      <t>*cos</t>
    </r>
    <r>
      <rPr>
        <sz val="12"/>
        <color theme="1"/>
        <rFont val="Times New Roman"/>
        <family val="1"/>
      </rPr>
      <t>α</t>
    </r>
  </si>
  <si>
    <t>Rэkв= R0= Bt-Zt</t>
  </si>
  <si>
    <r>
      <t>R٭=R</t>
    </r>
    <r>
      <rPr>
        <sz val="9"/>
        <color rgb="FFFF0000"/>
        <rFont val="Times New Roman"/>
        <family val="2"/>
      </rPr>
      <t>٭־</t>
    </r>
    <r>
      <rPr>
        <sz val="12"/>
        <color rgb="FFFF0000"/>
        <rFont val="Times New Roman"/>
        <family val="2"/>
      </rPr>
      <t xml:space="preserve"> </t>
    </r>
    <r>
      <rPr>
        <sz val="8"/>
        <color rgb="FFFF0000"/>
        <rFont val="Times New Roman"/>
        <family val="2"/>
      </rPr>
      <t>п</t>
    </r>
    <r>
      <rPr>
        <sz val="12"/>
        <color rgb="FFFF0000"/>
        <rFont val="Times New Roman"/>
        <family val="2"/>
      </rPr>
      <t>.(Cэф)^</t>
    </r>
    <r>
      <rPr>
        <sz val="10"/>
        <color rgb="FFFF0000"/>
        <rFont val="Times New Roman"/>
        <family val="2"/>
      </rPr>
      <t>0.333</t>
    </r>
  </si>
  <si>
    <r>
      <t>R־=Rэkв/(Cэф)^</t>
    </r>
    <r>
      <rPr>
        <sz val="10"/>
        <color rgb="FFFF0000"/>
        <rFont val="Times New Roman"/>
        <family val="2"/>
      </rPr>
      <t>0.333</t>
    </r>
  </si>
  <si>
    <r>
      <t xml:space="preserve">                                                          maxбв=A*(R־)^</t>
    </r>
    <r>
      <rPr>
        <sz val="9"/>
        <color rgb="FFFF0000"/>
        <rFont val="Times New Roman"/>
        <family val="2"/>
      </rPr>
      <t>-n1</t>
    </r>
  </si>
  <si>
    <t>عامل متعلق بالتربة حول الجدار</t>
  </si>
  <si>
    <t xml:space="preserve">متعلق بتربة  الجداروتوضع قيمتها لاحقا بعد حساب ᴈ־hمن الفقرة6.2 </t>
  </si>
  <si>
    <t>τ = μ(Cэф)^0.333 + η.Rэkв</t>
  </si>
  <si>
    <t>عامل متعلق ب (־hᴈ) للجدار</t>
  </si>
  <si>
    <t>μc</t>
  </si>
  <si>
    <t>ηc</t>
  </si>
  <si>
    <t>عمق توضع مركز الجدار</t>
  </si>
  <si>
    <t>Zc</t>
  </si>
  <si>
    <t>يوضع بعد حسابات 8.5</t>
  </si>
  <si>
    <t>ω={(1/aэ)^2}*C*μ*{(B/me.д)^0.5}</t>
  </si>
  <si>
    <r>
      <t>μ=f(Hc/a</t>
    </r>
    <r>
      <rPr>
        <sz val="12"/>
        <color theme="1"/>
        <rFont val="Times New Roman"/>
        <family val="1"/>
      </rPr>
      <t>э</t>
    </r>
    <r>
      <rPr>
        <sz val="12"/>
        <color theme="1"/>
        <rFont val="Times New Roman"/>
        <family val="2"/>
      </rPr>
      <t>)</t>
    </r>
  </si>
  <si>
    <r>
      <t>η</t>
    </r>
    <r>
      <rPr>
        <sz val="12"/>
        <color theme="1"/>
        <rFont val="Times New Roman"/>
        <family val="2"/>
      </rPr>
      <t>=bp/a</t>
    </r>
    <r>
      <rPr>
        <sz val="12"/>
        <color theme="1"/>
        <rFont val="Times New Roman"/>
        <family val="1"/>
      </rPr>
      <t>э</t>
    </r>
  </si>
  <si>
    <t>h0= Hc-5cm</t>
  </si>
  <si>
    <r>
      <t>μ= -1.255(Hc/a</t>
    </r>
    <r>
      <rPr>
        <sz val="12"/>
        <color theme="1"/>
        <rFont val="Times New Roman"/>
        <family val="1"/>
      </rPr>
      <t>э</t>
    </r>
    <r>
      <rPr>
        <sz val="12"/>
        <color theme="1"/>
        <rFont val="Times New Roman"/>
        <family val="2"/>
      </rPr>
      <t>)+1.1215</t>
    </r>
  </si>
  <si>
    <t>للسقف</t>
  </si>
  <si>
    <t>للجدار</t>
  </si>
  <si>
    <t>ξ</t>
  </si>
  <si>
    <r>
      <t>P</t>
    </r>
    <r>
      <rPr>
        <sz val="12"/>
        <color theme="1"/>
        <rFont val="Times New Roman"/>
        <family val="1"/>
      </rPr>
      <t>ᶿ</t>
    </r>
    <r>
      <rPr>
        <sz val="12"/>
        <color theme="1"/>
        <rFont val="Times New Roman"/>
        <family val="2"/>
      </rPr>
      <t>max = Pmax((cos</t>
    </r>
    <r>
      <rPr>
        <sz val="12"/>
        <color theme="1"/>
        <rFont val="Times New Roman"/>
        <family val="1"/>
      </rPr>
      <t>θ</t>
    </r>
    <r>
      <rPr>
        <sz val="12"/>
        <color theme="1"/>
        <rFont val="Times New Roman"/>
        <family val="2"/>
      </rPr>
      <t>)^2 +</t>
    </r>
    <r>
      <rPr>
        <sz val="12"/>
        <color theme="1"/>
        <rFont val="Times New Roman"/>
        <family val="1"/>
      </rPr>
      <t>ξ(sinθ)^2)(cosθ)^n1</t>
    </r>
  </si>
  <si>
    <t>Fc =</t>
  </si>
  <si>
    <r>
      <t>L</t>
    </r>
    <r>
      <rPr>
        <sz val="10"/>
        <color theme="1"/>
        <rFont val="Times New Roman"/>
        <family val="1"/>
      </rPr>
      <t>k</t>
    </r>
  </si>
  <si>
    <r>
      <t>B</t>
    </r>
    <r>
      <rPr>
        <sz val="10"/>
        <color theme="1"/>
        <rFont val="Times New Roman"/>
        <family val="1"/>
      </rPr>
      <t>k</t>
    </r>
  </si>
  <si>
    <r>
      <t>mc = Pk*1.15*1000/F</t>
    </r>
    <r>
      <rPr>
        <sz val="12"/>
        <color theme="1"/>
        <rFont val="Times New Roman"/>
        <family val="1"/>
      </rPr>
      <t>пοk</t>
    </r>
  </si>
  <si>
    <r>
      <t>mc = Pk*1000*1.15/F</t>
    </r>
    <r>
      <rPr>
        <sz val="12"/>
        <color theme="1"/>
        <rFont val="Times New Roman"/>
        <family val="1"/>
      </rPr>
      <t>пοk</t>
    </r>
  </si>
  <si>
    <t>Kп,п</t>
  </si>
  <si>
    <t>Kп,c</t>
  </si>
  <si>
    <t>يوضع بعد حسابات 8.7</t>
  </si>
  <si>
    <r>
      <rPr>
        <sz val="12"/>
        <color theme="1"/>
        <rFont val="Times New Roman"/>
        <family val="1"/>
      </rPr>
      <t>θ</t>
    </r>
    <r>
      <rPr>
        <sz val="12"/>
        <color theme="1"/>
        <rFont val="Times New Roman"/>
        <family val="2"/>
      </rPr>
      <t>=</t>
    </r>
  </si>
  <si>
    <t>Radian</t>
  </si>
  <si>
    <t>kψ=0.85</t>
  </si>
  <si>
    <t>Kд,п</t>
  </si>
  <si>
    <t>Kд,c</t>
  </si>
  <si>
    <t>معاما الديناميك يوضع بعد حسابات.8.9</t>
  </si>
  <si>
    <t>8,10</t>
  </si>
  <si>
    <t>حساب العزم الاكبرMp  للجدار</t>
  </si>
  <si>
    <t>حساب سماكة الجدار</t>
  </si>
  <si>
    <t>Hc=h0*1.05</t>
  </si>
  <si>
    <t>نسبة تسليح البيتون مساحيا</t>
  </si>
  <si>
    <t>عامل التدمير لبيتون يلاطة الحماية</t>
  </si>
  <si>
    <t>عامل التدمير للتربة حول الجدار</t>
  </si>
  <si>
    <t>عامل متعلق بتربة توزيع الضغط</t>
  </si>
  <si>
    <t>عامل مرونة الحديد,كغ/سم2</t>
  </si>
  <si>
    <t>معامل الضغط الجانبي لتربة الجدار</t>
  </si>
  <si>
    <t>للسقف/بيتون</t>
  </si>
  <si>
    <t>للسقف/حديد</t>
  </si>
  <si>
    <t>للجدار/بيتون</t>
  </si>
  <si>
    <t>للجدار/حديد</t>
  </si>
  <si>
    <r>
      <rPr>
        <b/>
        <sz val="16"/>
        <color theme="1"/>
        <rFont val="Times New Roman"/>
        <family val="1"/>
      </rPr>
      <t>r</t>
    </r>
    <r>
      <rPr>
        <sz val="12"/>
        <color theme="1"/>
        <rFont val="Times New Roman"/>
        <family val="2"/>
      </rPr>
      <t xml:space="preserve">вt=0.4 m </t>
    </r>
    <r>
      <rPr>
        <sz val="16"/>
        <color theme="1"/>
        <rFont val="Times New Roman"/>
        <family val="1"/>
      </rPr>
      <t>k</t>
    </r>
    <r>
      <rPr>
        <sz val="12"/>
        <color theme="1"/>
        <rFont val="Times New Roman"/>
        <family val="2"/>
      </rPr>
      <t>вt.</t>
    </r>
    <r>
      <rPr>
        <sz val="12"/>
        <color theme="1"/>
        <rFont val="Times New Roman"/>
        <family val="1"/>
      </rPr>
      <t>бt</t>
    </r>
    <r>
      <rPr>
        <sz val="12"/>
        <color theme="1"/>
        <rFont val="Times New Roman"/>
        <family val="2"/>
      </rPr>
      <t xml:space="preserve"> </t>
    </r>
    <r>
      <rPr>
        <sz val="16"/>
        <color theme="1"/>
        <rFont val="Times New Roman"/>
        <family val="1"/>
      </rPr>
      <t>(C</t>
    </r>
    <r>
      <rPr>
        <sz val="12"/>
        <color theme="1"/>
        <rFont val="Times New Roman"/>
        <family val="1"/>
      </rPr>
      <t>эф</t>
    </r>
    <r>
      <rPr>
        <sz val="10"/>
        <color theme="1"/>
        <rFont val="Times New Roman"/>
        <family val="1"/>
      </rPr>
      <t>1</t>
    </r>
    <r>
      <rPr>
        <sz val="16"/>
        <color theme="1"/>
        <rFont val="Times New Roman"/>
        <family val="1"/>
      </rPr>
      <t>)</t>
    </r>
    <r>
      <rPr>
        <sz val="10"/>
        <color theme="1"/>
        <rFont val="Times New Roman"/>
        <family val="1"/>
      </rPr>
      <t>^0.5</t>
    </r>
  </si>
  <si>
    <r>
      <t>Zp.pc=0.44*m*Kp.pc*(C</t>
    </r>
    <r>
      <rPr>
        <sz val="12"/>
        <color theme="1"/>
        <rFont val="Times New Roman"/>
        <family val="1"/>
      </rPr>
      <t>эф</t>
    </r>
    <r>
      <rPr>
        <sz val="9"/>
        <color theme="1"/>
        <rFont val="Times New Roman"/>
        <family val="1"/>
      </rPr>
      <t>1</t>
    </r>
    <r>
      <rPr>
        <sz val="12"/>
        <color theme="1"/>
        <rFont val="Times New Roman"/>
        <family val="2"/>
      </rPr>
      <t>)^</t>
    </r>
    <r>
      <rPr>
        <sz val="9"/>
        <color theme="1"/>
        <rFont val="Times New Roman"/>
        <family val="1"/>
      </rPr>
      <t>0.5</t>
    </r>
  </si>
  <si>
    <t>ادخل المعطيات الاساسية بعد النظر الى الجداول والرسوم وضع قيم هذه المعطيات في المربعات المخصصة باللون الاحمر</t>
  </si>
  <si>
    <t>A-1</t>
  </si>
  <si>
    <t>نوع القنبلة</t>
  </si>
  <si>
    <t>عياره(فونت)</t>
  </si>
  <si>
    <t>الوزن,كغ</t>
  </si>
  <si>
    <t xml:space="preserve">الطول العام, م </t>
  </si>
  <si>
    <t>طول الهيكل, م</t>
  </si>
  <si>
    <t>قطر الهيكل,م</t>
  </si>
  <si>
    <t>نسبة طول الحشوة الى قطر الهيكل</t>
  </si>
  <si>
    <t xml:space="preserve">نسبة طول الرأس الحربي الى القطر </t>
  </si>
  <si>
    <t>وزن المواد المتفجرة, كغ</t>
  </si>
  <si>
    <t>الترميز</t>
  </si>
  <si>
    <t>_</t>
  </si>
  <si>
    <r>
      <t>l</t>
    </r>
    <r>
      <rPr>
        <b/>
        <sz val="9"/>
        <color theme="1"/>
        <rFont val="Times New Roman"/>
        <family val="1"/>
      </rPr>
      <t>гч</t>
    </r>
    <r>
      <rPr>
        <b/>
        <sz val="11"/>
        <color theme="1"/>
        <rFont val="Times New Roman"/>
        <family val="1"/>
      </rPr>
      <t>/d</t>
    </r>
    <r>
      <rPr>
        <b/>
        <sz val="9"/>
        <color theme="1"/>
        <rFont val="Times New Roman"/>
        <family val="1"/>
      </rPr>
      <t>k</t>
    </r>
  </si>
  <si>
    <r>
      <t>lᴈ/d</t>
    </r>
    <r>
      <rPr>
        <b/>
        <sz val="9"/>
        <color theme="1"/>
        <rFont val="Times New Roman"/>
        <family val="1"/>
      </rPr>
      <t>k</t>
    </r>
  </si>
  <si>
    <r>
      <t>d</t>
    </r>
    <r>
      <rPr>
        <b/>
        <sz val="9"/>
        <color theme="1"/>
        <rFont val="Times New Roman"/>
        <family val="1"/>
      </rPr>
      <t>k</t>
    </r>
  </si>
  <si>
    <r>
      <t>l</t>
    </r>
    <r>
      <rPr>
        <b/>
        <sz val="9"/>
        <color theme="1"/>
        <rFont val="Times New Roman"/>
        <family val="1"/>
      </rPr>
      <t>k</t>
    </r>
  </si>
  <si>
    <r>
      <t>l</t>
    </r>
    <r>
      <rPr>
        <b/>
        <sz val="9"/>
        <color theme="1"/>
        <rFont val="Times New Roman"/>
        <family val="1"/>
      </rPr>
      <t>oб</t>
    </r>
  </si>
  <si>
    <t>AN-M30A1</t>
  </si>
  <si>
    <t>AN-M57A1</t>
  </si>
  <si>
    <t>M117(M)</t>
  </si>
  <si>
    <t>AN-M65A1</t>
  </si>
  <si>
    <t>AN-M66A1</t>
  </si>
  <si>
    <t>AN-M64A1</t>
  </si>
  <si>
    <t>MK81</t>
  </si>
  <si>
    <t>MK82</t>
  </si>
  <si>
    <t>MK83</t>
  </si>
  <si>
    <t>MK84</t>
  </si>
  <si>
    <t>MK81 سنيكاي</t>
  </si>
  <si>
    <t>MK82 سنيكاي</t>
  </si>
  <si>
    <t>M117R</t>
  </si>
  <si>
    <t>تريتونال</t>
  </si>
  <si>
    <r>
      <rPr>
        <b/>
        <sz val="12"/>
        <color theme="1"/>
        <rFont val="Times New Roman"/>
        <family val="1"/>
      </rPr>
      <t>ملاحظة:</t>
    </r>
    <r>
      <rPr>
        <sz val="12"/>
        <color theme="1"/>
        <rFont val="Times New Roman"/>
        <family val="2"/>
      </rPr>
      <t xml:space="preserve"> اذا كانت القنيلة المطلوبة غير موجودة في الجدول يجب معرفة مواصفاتها ووضعها في المربعات الحمر</t>
    </r>
  </si>
  <si>
    <t>جدول 1</t>
  </si>
  <si>
    <t xml:space="preserve"> معامل المادة المتفجرة-K1</t>
  </si>
  <si>
    <t>جدول 3 يبين قوة المادة المتفجرة في القنبلة منسوبا الى التراتيل</t>
  </si>
  <si>
    <t>جدول رقم4</t>
  </si>
  <si>
    <t>جدول 4 يبين قيمة معامل الاحتياط عند حساب سماكة بلاطة الحماية</t>
  </si>
  <si>
    <r>
      <rPr>
        <b/>
        <sz val="16"/>
        <color theme="1"/>
        <rFont val="Times New Roman"/>
        <family val="1"/>
      </rPr>
      <t>n</t>
    </r>
    <r>
      <rPr>
        <b/>
        <sz val="9"/>
        <color theme="1"/>
        <rFont val="Times New Roman"/>
        <family val="1"/>
      </rPr>
      <t>0=</t>
    </r>
  </si>
  <si>
    <t>بلاطة  حمايةمن البيتون العادي/او طبقة ترابية قاسية</t>
  </si>
  <si>
    <t>جدول رقم 5</t>
  </si>
  <si>
    <t>معامل الاختراق</t>
  </si>
  <si>
    <t>معامل التصدع من جهة الانفجار</t>
  </si>
  <si>
    <t>معامل التدمير</t>
  </si>
  <si>
    <t>معامل التصدع من الجهة المعاكسة</t>
  </si>
  <si>
    <t>نوع المادة</t>
  </si>
  <si>
    <t>Kпp</t>
  </si>
  <si>
    <t>Kв</t>
  </si>
  <si>
    <t>Kp</t>
  </si>
  <si>
    <t>Kot</t>
  </si>
  <si>
    <t>طين رخو مشبع بالماء</t>
  </si>
  <si>
    <t>طين متوسط الكثافة</t>
  </si>
  <si>
    <t>طبقة رمل مخلط بالشوائب</t>
  </si>
  <si>
    <t>طبقة من البلوك او الاحجارة المرصوفة</t>
  </si>
  <si>
    <t>طبقة بلوك او احجارة مرصوفة مع استخدام الاسمنت</t>
  </si>
  <si>
    <t>غرانيت او غنيس</t>
  </si>
  <si>
    <t>بيتون عادي مقاومة 170 kg/cm2</t>
  </si>
  <si>
    <t>بيتون عادي مقاومة 225 kg/cm2</t>
  </si>
  <si>
    <t>بيتون مسلح مقاومة 200 كغ/سم2</t>
  </si>
  <si>
    <t>بيتون مسلح مقاومة250-300 كغ/سم2</t>
  </si>
  <si>
    <t>مادة بلاطة الحماية</t>
  </si>
  <si>
    <t>مادة طبقة توزيع الضغط</t>
  </si>
  <si>
    <t>مادة التربة الاساسية حول المنشأة</t>
  </si>
  <si>
    <t>بيتون سقف وجدران  المنشأة</t>
  </si>
  <si>
    <t>جدول 5 يبين  معاملات خاصة بطبيعة سلوك الوسط الذي تخترقه القنبلة او تنفجر فيه</t>
  </si>
  <si>
    <t>جدول رقم 6</t>
  </si>
  <si>
    <t>n1</t>
  </si>
  <si>
    <t>نوع التربة</t>
  </si>
  <si>
    <t xml:space="preserve">رمل رخو او رمل مع شوائب </t>
  </si>
  <si>
    <t>2~3</t>
  </si>
  <si>
    <t>طين مع حجار</t>
  </si>
  <si>
    <t>جدول 6 يحدد قيمة عوامل تجريبية مطلوبة لتحديد قيمة الضغط الاعظمي</t>
  </si>
  <si>
    <t xml:space="preserve">الناتج عن انفجار القنبلة على السقف وعلى الجدار. </t>
  </si>
  <si>
    <t>طبقة طينية طبيعية مع وجود احجار في تشكيلها</t>
  </si>
  <si>
    <t>مادة التربة حول جدران المنشأة</t>
  </si>
  <si>
    <t>تربة رملية او كلسية</t>
  </si>
  <si>
    <t>الكثافة, كغ*ثا^2/م4</t>
  </si>
  <si>
    <t>سرعة انتشار الامواج الطولية المرنة,م/ثا</t>
  </si>
  <si>
    <t>النسبة</t>
  </si>
  <si>
    <t>معامل الضغط الجانبي</t>
  </si>
  <si>
    <t>ρ</t>
  </si>
  <si>
    <t>2.5 - 3</t>
  </si>
  <si>
    <t>0.4 - 0.5</t>
  </si>
  <si>
    <t>100 -150</t>
  </si>
  <si>
    <t>150 - 155</t>
  </si>
  <si>
    <t>160 - 165</t>
  </si>
  <si>
    <t>200 - 500</t>
  </si>
  <si>
    <t>0.35 - 0.4</t>
  </si>
  <si>
    <t>180 - 185</t>
  </si>
  <si>
    <t>400 - 600</t>
  </si>
  <si>
    <t>0.5 - 0.6</t>
  </si>
  <si>
    <t>195 -200</t>
  </si>
  <si>
    <t>500 - 800</t>
  </si>
  <si>
    <t>0.5 - 0.7</t>
  </si>
  <si>
    <t>التربة حول جدران المنشأة</t>
  </si>
  <si>
    <t>تربة طبقة توزيع الضغط</t>
  </si>
  <si>
    <t>جدول 7</t>
  </si>
  <si>
    <r>
      <rPr>
        <b/>
        <sz val="14"/>
        <color theme="1"/>
        <rFont val="Times New Roman"/>
        <family val="1"/>
      </rPr>
      <t>a</t>
    </r>
    <r>
      <rPr>
        <b/>
        <sz val="12"/>
        <color theme="1"/>
        <rFont val="Times New Roman"/>
        <family val="1"/>
      </rPr>
      <t>0</t>
    </r>
  </si>
  <si>
    <r>
      <rPr>
        <b/>
        <sz val="14"/>
        <color theme="1"/>
        <rFont val="Times New Roman"/>
        <family val="1"/>
      </rPr>
      <t>a</t>
    </r>
    <r>
      <rPr>
        <b/>
        <sz val="12"/>
        <color theme="1"/>
        <rFont val="Times New Roman"/>
        <family val="1"/>
      </rPr>
      <t>0/</t>
    </r>
    <r>
      <rPr>
        <b/>
        <sz val="14"/>
        <color theme="1"/>
        <rFont val="Times New Roman"/>
        <family val="1"/>
      </rPr>
      <t>a</t>
    </r>
    <r>
      <rPr>
        <b/>
        <sz val="12"/>
        <color theme="1"/>
        <rFont val="Times New Roman"/>
        <family val="1"/>
      </rPr>
      <t>1</t>
    </r>
  </si>
  <si>
    <t>كثافة طبقة توزيع الضغط</t>
  </si>
  <si>
    <t>كثافة التربة حول الجدار</t>
  </si>
  <si>
    <r>
      <t>K</t>
    </r>
    <r>
      <rPr>
        <sz val="12"/>
        <color theme="1"/>
        <rFont val="Times New Roman"/>
        <family val="1"/>
      </rPr>
      <t>п</t>
    </r>
    <r>
      <rPr>
        <sz val="12"/>
        <color theme="1"/>
        <rFont val="Times New Roman"/>
        <family val="2"/>
      </rPr>
      <t xml:space="preserve"> = f{</t>
    </r>
    <r>
      <rPr>
        <sz val="12"/>
        <color theme="1"/>
        <rFont val="Times New Roman"/>
        <family val="1"/>
      </rPr>
      <t>λ</t>
    </r>
    <r>
      <rPr>
        <sz val="12"/>
        <color theme="1"/>
        <rFont val="Times New Roman"/>
        <family val="2"/>
      </rPr>
      <t>=</t>
    </r>
    <r>
      <rPr>
        <sz val="14"/>
        <color theme="1"/>
        <rFont val="Times New Roman"/>
        <family val="1"/>
      </rPr>
      <t>m</t>
    </r>
    <r>
      <rPr>
        <sz val="12"/>
        <color theme="1"/>
        <rFont val="Times New Roman"/>
        <family val="2"/>
      </rPr>
      <t>c/2a1*</t>
    </r>
    <r>
      <rPr>
        <sz val="12"/>
        <color theme="1"/>
        <rFont val="Times New Roman"/>
        <family val="1"/>
      </rPr>
      <t>ρ</t>
    </r>
    <r>
      <rPr>
        <sz val="10"/>
        <color theme="1"/>
        <rFont val="Times New Roman"/>
        <family val="1"/>
      </rPr>
      <t>p.c*</t>
    </r>
    <r>
      <rPr>
        <b/>
        <sz val="14"/>
        <color theme="1"/>
        <rFont val="Times New Roman"/>
        <family val="1"/>
      </rPr>
      <t>τ</t>
    </r>
    <r>
      <rPr>
        <sz val="10"/>
        <color theme="1"/>
        <rFont val="Times New Roman"/>
        <family val="1"/>
      </rPr>
      <t>н</t>
    </r>
    <r>
      <rPr>
        <sz val="12"/>
        <color theme="1"/>
        <rFont val="Times New Roman"/>
        <family val="1"/>
      </rPr>
      <t>}</t>
    </r>
  </si>
  <si>
    <r>
      <t>K</t>
    </r>
    <r>
      <rPr>
        <sz val="12"/>
        <color theme="1"/>
        <rFont val="Times New Roman"/>
        <family val="1"/>
      </rPr>
      <t>п</t>
    </r>
    <r>
      <rPr>
        <sz val="12"/>
        <color theme="1"/>
        <rFont val="Times New Roman"/>
        <family val="2"/>
      </rPr>
      <t xml:space="preserve"> = f{</t>
    </r>
    <r>
      <rPr>
        <sz val="12"/>
        <color theme="1"/>
        <rFont val="Times New Roman"/>
        <family val="1"/>
      </rPr>
      <t>λ</t>
    </r>
    <r>
      <rPr>
        <sz val="12"/>
        <color theme="1"/>
        <rFont val="Times New Roman"/>
        <family val="2"/>
      </rPr>
      <t>=</t>
    </r>
    <r>
      <rPr>
        <sz val="14"/>
        <color theme="1"/>
        <rFont val="Times New Roman"/>
        <family val="1"/>
      </rPr>
      <t>m</t>
    </r>
    <r>
      <rPr>
        <sz val="12"/>
        <color theme="1"/>
        <rFont val="Times New Roman"/>
        <family val="2"/>
      </rPr>
      <t>c/2a1*</t>
    </r>
    <r>
      <rPr>
        <sz val="12"/>
        <color theme="1"/>
        <rFont val="Times New Roman"/>
        <family val="1"/>
      </rPr>
      <t>ρ</t>
    </r>
    <r>
      <rPr>
        <sz val="8"/>
        <color theme="1"/>
        <rFont val="Times New Roman"/>
        <family val="1"/>
      </rPr>
      <t>гp</t>
    </r>
    <r>
      <rPr>
        <sz val="10"/>
        <color theme="1"/>
        <rFont val="Times New Roman"/>
        <family val="1"/>
      </rPr>
      <t>*</t>
    </r>
    <r>
      <rPr>
        <b/>
        <sz val="14"/>
        <color theme="1"/>
        <rFont val="Times New Roman"/>
        <family val="1"/>
      </rPr>
      <t>τ</t>
    </r>
    <r>
      <rPr>
        <sz val="10"/>
        <color theme="1"/>
        <rFont val="Times New Roman"/>
        <family val="1"/>
      </rPr>
      <t>н</t>
    </r>
    <r>
      <rPr>
        <sz val="12"/>
        <color theme="1"/>
        <rFont val="Times New Roman"/>
        <family val="1"/>
      </rPr>
      <t>}</t>
    </r>
  </si>
  <si>
    <t>A-2</t>
  </si>
  <si>
    <t xml:space="preserve"> مواصفات والمعاملات الخاصة بالتربة والبيتون و حديد التسليح</t>
  </si>
  <si>
    <t>الماركة</t>
  </si>
  <si>
    <t>M200</t>
  </si>
  <si>
    <t>M300</t>
  </si>
  <si>
    <t>M350</t>
  </si>
  <si>
    <t>M400</t>
  </si>
  <si>
    <t>M500</t>
  </si>
  <si>
    <t>M600</t>
  </si>
  <si>
    <t>M700</t>
  </si>
  <si>
    <t>M800</t>
  </si>
  <si>
    <t>Rb,н</t>
  </si>
  <si>
    <t>جدول 8</t>
  </si>
  <si>
    <t>Rb,н =</t>
  </si>
  <si>
    <t>مواصفات حديد التسليح المستخدم</t>
  </si>
  <si>
    <t>A-11</t>
  </si>
  <si>
    <t>A-111</t>
  </si>
  <si>
    <t>A-3</t>
  </si>
  <si>
    <t>ماركة الحديد</t>
  </si>
  <si>
    <t>مقاومة الشد عند حد السيولة,كغ/سم2</t>
  </si>
  <si>
    <t>معامل المرونة, كغ/سم2</t>
  </si>
  <si>
    <t>جدول9</t>
  </si>
  <si>
    <t>Ea =</t>
  </si>
  <si>
    <t>Raн =</t>
  </si>
  <si>
    <t>مواصفات  عامة للمنشأة</t>
  </si>
  <si>
    <t>جدول10</t>
  </si>
  <si>
    <t>الطول الكلي,م</t>
  </si>
  <si>
    <t>العرض الكلي,م</t>
  </si>
  <si>
    <t>طول المجاز الكبير</t>
  </si>
  <si>
    <t>الارتفاع الداخلي الصافي</t>
  </si>
  <si>
    <t>سماكة السقف المبدأية</t>
  </si>
  <si>
    <t>سماكة الجدار المبدأية</t>
  </si>
  <si>
    <t>سماكة الارضية المبدأية</t>
  </si>
  <si>
    <r>
      <t>L</t>
    </r>
    <r>
      <rPr>
        <b/>
        <sz val="8"/>
        <color theme="1"/>
        <rFont val="Times New Roman"/>
        <family val="1"/>
      </rPr>
      <t>k, m</t>
    </r>
  </si>
  <si>
    <r>
      <t>B</t>
    </r>
    <r>
      <rPr>
        <b/>
        <sz val="8"/>
        <color theme="1"/>
        <rFont val="Times New Roman"/>
        <family val="1"/>
      </rPr>
      <t>k, m</t>
    </r>
  </si>
  <si>
    <r>
      <rPr>
        <b/>
        <sz val="12"/>
        <color theme="1"/>
        <rFont val="Times New Roman"/>
        <family val="1"/>
      </rPr>
      <t>a</t>
    </r>
    <r>
      <rPr>
        <b/>
        <sz val="8"/>
        <color theme="1"/>
        <rFont val="Times New Roman"/>
        <family val="1"/>
      </rPr>
      <t>p, m</t>
    </r>
  </si>
  <si>
    <r>
      <rPr>
        <b/>
        <sz val="12"/>
        <color theme="1"/>
        <rFont val="Times New Roman"/>
        <family val="1"/>
      </rPr>
      <t>a</t>
    </r>
    <r>
      <rPr>
        <b/>
        <sz val="10"/>
        <color theme="1"/>
        <rFont val="Times New Roman"/>
        <family val="1"/>
      </rPr>
      <t>э, m</t>
    </r>
  </si>
  <si>
    <t>Hп, m</t>
  </si>
  <si>
    <t>Hc, m</t>
  </si>
  <si>
    <t>Hф, m</t>
  </si>
  <si>
    <t>ملاحظة: ان سماكة السقف والجدار والارضية توضع هنا لاجراء بعض الحسابات الاولية والبرنامج سيحسب هذه السماكات ولدقة العمل يجب وضع السماكات المحسوبة مرة اخرى هنا لاعادة الحسابات وسيكون هناك فرق ولكن بسيط جدا</t>
  </si>
  <si>
    <t>واذا كان الفرق ملموس توضع النتائج مرة اخرى او اكثر حتى يصبح الفرق غير ملموس ونتائج الحسابات لسماكة السقف والجدار والارضية موضوع في الجدول ادناه</t>
  </si>
  <si>
    <t>نتائج الحسابات</t>
  </si>
  <si>
    <t>B</t>
  </si>
  <si>
    <t>نسبة تسليح البيتون المبدأية</t>
  </si>
  <si>
    <t>μ</t>
  </si>
  <si>
    <t xml:space="preserve">في هذا الجزء سيقوم البرنامج باجراء الحسابات بعد ادخال المعطيات اعلاه ولكن بعض المعطيات لايمكن ادخالها الا بعد اجراء حسابات معينة, وفي هذا الجزء سنظهر بعض نتائج الحسابات الضرورية لمعرفة بعض المعطيات وادخالها </t>
  </si>
  <si>
    <t>B-1</t>
  </si>
  <si>
    <t>قيمة ( R¯̽)</t>
  </si>
  <si>
    <t>0.4&lt; ḧ&lt;=0.8</t>
  </si>
  <si>
    <t>ḧ&lt;=0.4</t>
  </si>
  <si>
    <t>ḧ =</t>
  </si>
  <si>
    <t>عند تحديد نوع الموجة  المؤثرة على السقف وعلى الجدار يطلب معرفة قيمة( R¯̽) بناء على قيمة ḧ  لذلك يا أخي انظر الى قيمة ḧ بالمربع باللون الاخضر وضع قيمة( R¯̽) الموافقة في المربع الاحمر</t>
  </si>
  <si>
    <t xml:space="preserve"> R¯̽ =</t>
  </si>
  <si>
    <t>B-2</t>
  </si>
  <si>
    <r>
      <rPr>
        <sz val="16"/>
        <color theme="1"/>
        <rFont val="Times New Roman"/>
        <family val="1"/>
      </rPr>
      <t>τ</t>
    </r>
    <r>
      <rPr>
        <sz val="12"/>
        <color theme="1"/>
        <rFont val="Times New Roman"/>
        <family val="1"/>
      </rPr>
      <t xml:space="preserve"> </t>
    </r>
    <r>
      <rPr>
        <sz val="12"/>
        <color theme="1"/>
        <rFont val="Times New Roman"/>
        <family val="2"/>
      </rPr>
      <t>= Kt*0.0035*(Cэф)^</t>
    </r>
    <r>
      <rPr>
        <sz val="10"/>
        <color theme="1"/>
        <rFont val="Times New Roman"/>
        <family val="1"/>
      </rPr>
      <t>0.333</t>
    </r>
    <r>
      <rPr>
        <sz val="12"/>
        <color theme="1"/>
        <rFont val="Times New Roman"/>
        <family val="2"/>
      </rPr>
      <t xml:space="preserve"> </t>
    </r>
  </si>
  <si>
    <t>عند تحديد الزمن الكلي لتأثير الموجة على السقف وعلى الجدار يطلب تعيين قيمة μ   و η و Kt  بناء على قيمة ḧ</t>
  </si>
  <si>
    <t>ḧ</t>
  </si>
  <si>
    <t>&lt; 0.4</t>
  </si>
  <si>
    <t>Kt</t>
  </si>
  <si>
    <t>0.4 ~ 1.0</t>
  </si>
  <si>
    <t>1.0 ~ 2</t>
  </si>
  <si>
    <t>1~ 1.35</t>
  </si>
  <si>
    <t>1.35~ 1.8</t>
  </si>
  <si>
    <t>Kt =</t>
  </si>
  <si>
    <t>η</t>
  </si>
  <si>
    <t xml:space="preserve">  قيمة (μ) عند قيمة (ḧ)</t>
  </si>
  <si>
    <t>1.0 ~ 1.5</t>
  </si>
  <si>
    <t>0.35 - 0.7</t>
  </si>
  <si>
    <t>0.5 - 0.9</t>
  </si>
  <si>
    <t>0.55 - 0.9</t>
  </si>
  <si>
    <t>0.65 - 1.0</t>
  </si>
  <si>
    <t>μ =</t>
  </si>
  <si>
    <t>η =</t>
  </si>
  <si>
    <t>B-3</t>
  </si>
  <si>
    <t>وكذلك استنادا الى سرعة هذه الموجات عند سطح الارض(a0)</t>
  </si>
  <si>
    <t>قيمة Z للسقف</t>
  </si>
  <si>
    <t>قيمة Z للجدار</t>
  </si>
  <si>
    <t>B-4</t>
  </si>
  <si>
    <t>السقف ومنتصف االجدار(Z)</t>
  </si>
  <si>
    <t>قيمة (Kпοд) عند قيم (Z) التالية:</t>
  </si>
  <si>
    <t>&lt; 0.5</t>
  </si>
  <si>
    <t>0.5 - 2</t>
  </si>
  <si>
    <t>&gt; 10</t>
  </si>
  <si>
    <t>2~10</t>
  </si>
  <si>
    <t>حديد A-1, A-11</t>
  </si>
  <si>
    <t>بيتون</t>
  </si>
  <si>
    <t>السقف</t>
  </si>
  <si>
    <t>الجدار</t>
  </si>
  <si>
    <t>Z =</t>
  </si>
  <si>
    <t>حديد سقف</t>
  </si>
  <si>
    <t>حديد جدار</t>
  </si>
  <si>
    <t>بيتون سقف</t>
  </si>
  <si>
    <t>بيتون جدار</t>
  </si>
  <si>
    <t>Kпοд =</t>
  </si>
  <si>
    <t>B-5</t>
  </si>
  <si>
    <t>λ =</t>
  </si>
  <si>
    <r>
      <t>K</t>
    </r>
    <r>
      <rPr>
        <sz val="12"/>
        <color theme="1"/>
        <rFont val="Times New Roman"/>
        <family val="1"/>
      </rPr>
      <t>п =</t>
    </r>
  </si>
  <si>
    <t>عند حساب الحمولة العظمى على السقف و الجدار (Pmax) ,يجب ايجاد قيمة المعامل (Kп) بعد معرفة قيمة (λ) التي يقوم البرنامج بحسابها ويضعها باللون الاخضر, ثم يجب وضع قيم (Kп) في المربعات الحمر</t>
  </si>
  <si>
    <t>B-6</t>
  </si>
  <si>
    <r>
      <t>عند حساب الحمولة المكافئة (Pэкв) للسقف وللجدار, يجب ايجاد قيمة معامل الديناميك (Kд) المرتبط بقيمة (</t>
    </r>
    <r>
      <rPr>
        <b/>
        <sz val="14"/>
        <color theme="1"/>
        <rFont val="Times New Roman"/>
        <family val="1"/>
      </rPr>
      <t>ωτ</t>
    </r>
    <r>
      <rPr>
        <b/>
        <sz val="12"/>
        <color theme="1"/>
        <rFont val="Times New Roman"/>
        <family val="1"/>
      </rPr>
      <t>н) ووضعها بالمربع الاحمر. (ωτн) قد حسبها البرنامج ووضعها بالمربع الاخضر</t>
    </r>
  </si>
  <si>
    <r>
      <rPr>
        <b/>
        <sz val="14"/>
        <color theme="1"/>
        <rFont val="Times New Roman"/>
        <family val="1"/>
      </rPr>
      <t>ωτ</t>
    </r>
    <r>
      <rPr>
        <b/>
        <sz val="12"/>
        <color theme="1"/>
        <rFont val="Times New Roman"/>
        <family val="1"/>
      </rPr>
      <t>н =</t>
    </r>
  </si>
  <si>
    <t>Kд =</t>
  </si>
  <si>
    <t>عزيزي المهندس الشاطر: يتم استخدام هذا البرنامج من خلال هذه الصفحة وستكون الإدخالات والمخرجات في هذه الصفحة ولاداعي لفتح الصفحة الاولى والثانية لأن اي كتابة او تعديل سيؤدي الى تخريب البرنامج</t>
  </si>
  <si>
    <t>جدول 2 يبين السرعة الابتدائية لسقوط القنبلة وزاوية الميل عن الشاقول عند الاصطدام بالارض</t>
  </si>
  <si>
    <r>
      <rPr>
        <b/>
        <sz val="12"/>
        <color theme="1"/>
        <rFont val="Times New Roman"/>
        <family val="1"/>
      </rPr>
      <t>b</t>
    </r>
    <r>
      <rPr>
        <b/>
        <sz val="10"/>
        <color theme="1"/>
        <rFont val="Times New Roman"/>
        <family val="1"/>
      </rPr>
      <t>p,m</t>
    </r>
  </si>
  <si>
    <r>
      <t xml:space="preserve">عندما يتم حساب </t>
    </r>
    <r>
      <rPr>
        <b/>
        <sz val="11"/>
        <color theme="1"/>
        <rFont val="Times New Roman"/>
        <family val="1"/>
      </rPr>
      <t xml:space="preserve">زمن تصاعد قيمة الضغط في الموجة </t>
    </r>
    <r>
      <rPr>
        <b/>
        <sz val="14"/>
        <color theme="1"/>
        <rFont val="Times New Roman"/>
        <family val="1"/>
      </rPr>
      <t>τ</t>
    </r>
    <r>
      <rPr>
        <b/>
        <sz val="11"/>
        <color theme="1"/>
        <rFont val="Times New Roman"/>
        <family val="1"/>
      </rPr>
      <t>н</t>
    </r>
    <r>
      <rPr>
        <b/>
        <sz val="10"/>
        <color theme="1"/>
        <rFont val="Times New Roman"/>
        <family val="1"/>
      </rPr>
      <t xml:space="preserve">, فيجب معرفة </t>
    </r>
    <r>
      <rPr>
        <b/>
        <sz val="11"/>
        <color theme="1"/>
        <rFont val="Times New Roman"/>
        <family val="1"/>
      </rPr>
      <t>سرعة انتشار الموجات الطولية المرنة (a0z) و (a1z)</t>
    </r>
    <r>
      <rPr>
        <b/>
        <sz val="10"/>
        <color theme="1"/>
        <rFont val="Times New Roman"/>
        <family val="1"/>
      </rPr>
      <t xml:space="preserve"> عند مستوى سطح السقف ومستوى منتصف الجدار وذلك استنادا الى حسابات </t>
    </r>
    <r>
      <rPr>
        <b/>
        <sz val="11"/>
        <color theme="1"/>
        <rFont val="Times New Roman"/>
        <family val="1"/>
      </rPr>
      <t>عمق توضع السقف وعمق توضع الجدار (Z)</t>
    </r>
  </si>
  <si>
    <r>
      <t xml:space="preserve">قيمة </t>
    </r>
    <r>
      <rPr>
        <b/>
        <sz val="14"/>
        <color theme="1"/>
        <rFont val="Times New Roman"/>
        <family val="1"/>
      </rPr>
      <t>a</t>
    </r>
    <r>
      <rPr>
        <b/>
        <sz val="9"/>
        <color theme="1"/>
        <rFont val="Times New Roman"/>
        <family val="1"/>
      </rPr>
      <t>0</t>
    </r>
    <r>
      <rPr>
        <b/>
        <sz val="12"/>
        <color theme="1"/>
        <rFont val="Times New Roman"/>
        <family val="1"/>
      </rPr>
      <t xml:space="preserve">  للسقف</t>
    </r>
  </si>
  <si>
    <r>
      <t xml:space="preserve">قيمة </t>
    </r>
    <r>
      <rPr>
        <b/>
        <sz val="14"/>
        <color theme="1"/>
        <rFont val="Times New Roman"/>
        <family val="1"/>
      </rPr>
      <t>a</t>
    </r>
    <r>
      <rPr>
        <b/>
        <sz val="9"/>
        <color theme="1"/>
        <rFont val="Times New Roman"/>
        <family val="1"/>
      </rPr>
      <t>0</t>
    </r>
    <r>
      <rPr>
        <b/>
        <sz val="12"/>
        <color theme="1"/>
        <rFont val="Times New Roman"/>
        <family val="1"/>
      </rPr>
      <t xml:space="preserve">  للجدار</t>
    </r>
  </si>
  <si>
    <r>
      <t xml:space="preserve">قيمة </t>
    </r>
    <r>
      <rPr>
        <b/>
        <sz val="14"/>
        <color theme="1"/>
        <rFont val="Times New Roman"/>
        <family val="1"/>
      </rPr>
      <t>a</t>
    </r>
    <r>
      <rPr>
        <b/>
        <sz val="9"/>
        <color theme="1"/>
        <rFont val="Times New Roman"/>
        <family val="1"/>
      </rPr>
      <t>0</t>
    </r>
    <r>
      <rPr>
        <b/>
        <sz val="12"/>
        <color theme="1"/>
        <rFont val="Times New Roman"/>
        <family val="1"/>
      </rPr>
      <t>z  للسقف</t>
    </r>
  </si>
  <si>
    <r>
      <t xml:space="preserve">قيمة </t>
    </r>
    <r>
      <rPr>
        <b/>
        <sz val="14"/>
        <color theme="1"/>
        <rFont val="Times New Roman"/>
        <family val="1"/>
      </rPr>
      <t>a</t>
    </r>
    <r>
      <rPr>
        <b/>
        <sz val="9"/>
        <color theme="1"/>
        <rFont val="Times New Roman"/>
        <family val="1"/>
      </rPr>
      <t>0</t>
    </r>
    <r>
      <rPr>
        <b/>
        <sz val="12"/>
        <color theme="1"/>
        <rFont val="Times New Roman"/>
        <family val="1"/>
      </rPr>
      <t>z  للجدار</t>
    </r>
  </si>
  <si>
    <r>
      <t xml:space="preserve">قيمة </t>
    </r>
    <r>
      <rPr>
        <b/>
        <sz val="14"/>
        <color theme="1"/>
        <rFont val="Times New Roman"/>
        <family val="1"/>
      </rPr>
      <t>a</t>
    </r>
    <r>
      <rPr>
        <b/>
        <sz val="12"/>
        <color theme="1"/>
        <rFont val="Times New Roman"/>
        <family val="1"/>
      </rPr>
      <t>1  للسقف</t>
    </r>
  </si>
  <si>
    <r>
      <t xml:space="preserve">قيمة </t>
    </r>
    <r>
      <rPr>
        <b/>
        <sz val="14"/>
        <color theme="1"/>
        <rFont val="Times New Roman"/>
        <family val="1"/>
      </rPr>
      <t>a</t>
    </r>
    <r>
      <rPr>
        <b/>
        <sz val="12"/>
        <color theme="1"/>
        <rFont val="Times New Roman"/>
        <family val="1"/>
      </rPr>
      <t>1  للجدار</t>
    </r>
  </si>
  <si>
    <r>
      <t xml:space="preserve">قيمة </t>
    </r>
    <r>
      <rPr>
        <b/>
        <sz val="14"/>
        <color theme="1"/>
        <rFont val="Times New Roman"/>
        <family val="1"/>
      </rPr>
      <t>a</t>
    </r>
    <r>
      <rPr>
        <b/>
        <sz val="12"/>
        <color theme="1"/>
        <rFont val="Times New Roman"/>
        <family val="1"/>
      </rPr>
      <t>1z  للسقف</t>
    </r>
  </si>
  <si>
    <r>
      <t xml:space="preserve">قيمة </t>
    </r>
    <r>
      <rPr>
        <b/>
        <sz val="14"/>
        <color theme="1"/>
        <rFont val="Times New Roman"/>
        <family val="1"/>
      </rPr>
      <t>a</t>
    </r>
    <r>
      <rPr>
        <b/>
        <sz val="12"/>
        <color theme="1"/>
        <rFont val="Times New Roman"/>
        <family val="1"/>
      </rPr>
      <t>1z  للجدار</t>
    </r>
  </si>
  <si>
    <r>
      <rPr>
        <b/>
        <sz val="10"/>
        <color theme="1"/>
        <rFont val="Times New Roman"/>
        <family val="1"/>
      </rPr>
      <t>عندما نحسب ارتفاع المنطقة المضغوطة من مقطع بيتون السقف والجدار</t>
    </r>
    <r>
      <rPr>
        <b/>
        <sz val="11"/>
        <color theme="1"/>
        <rFont val="Times New Roman"/>
        <family val="1"/>
      </rPr>
      <t xml:space="preserve"> X  , </t>
    </r>
    <r>
      <rPr>
        <b/>
        <sz val="10"/>
        <color theme="1"/>
        <rFont val="Times New Roman"/>
        <family val="1"/>
      </rPr>
      <t xml:space="preserve">فيجب علينا ايجاد قيمة </t>
    </r>
    <r>
      <rPr>
        <b/>
        <sz val="11"/>
        <color theme="1"/>
        <rFont val="Times New Roman"/>
        <family val="1"/>
      </rPr>
      <t xml:space="preserve">معامل (Kпοд) لبيتون السقف وحديد السقف وكذلك لبيتون الجدار وحديد الجدار وهذا العامل متعلق بنوع حديد التسليح والبيتون وبعمق توضع سطح </t>
    </r>
  </si>
  <si>
    <t>جدول نتائج الحسابات</t>
  </si>
  <si>
    <t>سماكة السقف</t>
  </si>
  <si>
    <t>سماكة الجدار الخارجي</t>
  </si>
  <si>
    <t>سماكة الارضية</t>
  </si>
  <si>
    <t>سماكة الجدران الداخلية</t>
  </si>
  <si>
    <t>سماكة بلاطة الحماية</t>
  </si>
  <si>
    <t>سماكة طبقة توزيع الضغط</t>
  </si>
  <si>
    <t>الحمولة الحسابية على السقف</t>
  </si>
  <si>
    <t>الحمولة الحسابية على الجدار</t>
  </si>
  <si>
    <t>Hc</t>
  </si>
  <si>
    <t>Hp.c</t>
  </si>
  <si>
    <t>التسمية</t>
  </si>
  <si>
    <t>الرمز</t>
  </si>
  <si>
    <t>الوحدة</t>
  </si>
  <si>
    <t>القيمة</t>
  </si>
  <si>
    <t>Hп</t>
  </si>
  <si>
    <t>Hф</t>
  </si>
  <si>
    <t>Hвc</t>
  </si>
  <si>
    <r>
      <rPr>
        <b/>
        <sz val="14"/>
        <color theme="1"/>
        <rFont val="Times New Roman"/>
        <family val="1"/>
      </rPr>
      <t>h</t>
    </r>
    <r>
      <rPr>
        <b/>
        <sz val="12"/>
        <color theme="1"/>
        <rFont val="Times New Roman"/>
        <family val="1"/>
      </rPr>
      <t>t</t>
    </r>
  </si>
  <si>
    <t>Ppп</t>
  </si>
  <si>
    <t>Ppc</t>
  </si>
  <si>
    <t>م</t>
  </si>
  <si>
    <t>كغ/سم2</t>
  </si>
  <si>
    <t>عمق اختراق القنبلة في التربة</t>
  </si>
  <si>
    <t>الزمن الفعال لتأثير الانفجار على السقف</t>
  </si>
  <si>
    <t>الزمن الفعال لتأثير الانفجار على الجدار</t>
  </si>
  <si>
    <t>بروز بلاطة الحماية</t>
  </si>
  <si>
    <t>Bt</t>
  </si>
  <si>
    <r>
      <rPr>
        <b/>
        <sz val="14"/>
        <color theme="1"/>
        <rFont val="Times New Roman"/>
        <family val="1"/>
      </rPr>
      <t>h</t>
    </r>
    <r>
      <rPr>
        <b/>
        <sz val="12"/>
        <color theme="1"/>
        <rFont val="Times New Roman"/>
        <family val="1"/>
      </rPr>
      <t>пр</t>
    </r>
  </si>
  <si>
    <r>
      <rPr>
        <b/>
        <sz val="16"/>
        <color theme="1"/>
        <rFont val="Times New Roman"/>
        <family val="1"/>
      </rPr>
      <t>τ</t>
    </r>
    <r>
      <rPr>
        <b/>
        <sz val="12"/>
        <color theme="1"/>
        <rFont val="Times New Roman"/>
        <family val="1"/>
      </rPr>
      <t>эф</t>
    </r>
  </si>
  <si>
    <t>ثا</t>
  </si>
  <si>
    <t xml:space="preserve">سماكة الأرضية </t>
  </si>
  <si>
    <t xml:space="preserve">سماكة الجدران الداخلية </t>
  </si>
  <si>
    <t>Hф = 0.85*Hc =</t>
  </si>
  <si>
    <t>Hвc =</t>
  </si>
  <si>
    <t>سم</t>
  </si>
  <si>
    <t xml:space="preserve">ارجو منك الالتزام بطريقة العمل حسب ماسأكتبه ادناه. القيم الموضوعة هي لحالة دراسية معينة اما انت فاختر ماتريده وستتغير الارقام والحسابات بناء على دراستك انت. </t>
  </si>
  <si>
    <t>مقاومة البيتون(سقف + جدار) على الضغط حسب ماركة البيتون (Rb,н), كغ/سم2</t>
  </si>
  <si>
    <r>
      <rPr>
        <sz val="16"/>
        <color rgb="FFFF0000"/>
        <rFont val="Times New Roman"/>
        <family val="1"/>
      </rPr>
      <t>l</t>
    </r>
    <r>
      <rPr>
        <sz val="9"/>
        <color rgb="FFFF0000"/>
        <rFont val="Times New Roman"/>
        <family val="1"/>
      </rPr>
      <t>k</t>
    </r>
  </si>
  <si>
    <r>
      <t>l</t>
    </r>
    <r>
      <rPr>
        <sz val="9"/>
        <color rgb="FFFF0000"/>
        <rFont val="Times New Roman"/>
        <family val="1"/>
      </rPr>
      <t>ᴈ</t>
    </r>
    <r>
      <rPr>
        <sz val="16"/>
        <color rgb="FFFF0000"/>
        <rFont val="Times New Roman"/>
        <family val="1"/>
      </rPr>
      <t>/d</t>
    </r>
    <r>
      <rPr>
        <sz val="9"/>
        <color rgb="FFFF0000"/>
        <rFont val="Times New Roman"/>
        <family val="1"/>
      </rPr>
      <t>ᴈ</t>
    </r>
  </si>
  <si>
    <r>
      <t>l</t>
    </r>
    <r>
      <rPr>
        <sz val="9"/>
        <color rgb="FFFF0000"/>
        <rFont val="Times New Roman"/>
        <family val="1"/>
      </rPr>
      <t>oб</t>
    </r>
  </si>
  <si>
    <r>
      <t>l</t>
    </r>
    <r>
      <rPr>
        <sz val="9"/>
        <color rgb="FFFF0000"/>
        <rFont val="Times New Roman"/>
        <family val="1"/>
      </rPr>
      <t>гч</t>
    </r>
    <r>
      <rPr>
        <sz val="16"/>
        <color rgb="FFFF0000"/>
        <rFont val="Times New Roman"/>
        <family val="1"/>
      </rPr>
      <t>/d</t>
    </r>
  </si>
  <si>
    <r>
      <rPr>
        <b/>
        <sz val="16"/>
        <color rgb="FFFF0000"/>
        <rFont val="Times New Roman"/>
        <family val="1"/>
      </rPr>
      <t>d</t>
    </r>
    <r>
      <rPr>
        <b/>
        <sz val="10"/>
        <color rgb="FFFF0000"/>
        <rFont val="Times New Roman"/>
        <family val="1"/>
      </rPr>
      <t>k</t>
    </r>
  </si>
  <si>
    <r>
      <t>K</t>
    </r>
    <r>
      <rPr>
        <b/>
        <sz val="10"/>
        <color rgb="FFFF0000"/>
        <rFont val="Times New Roman"/>
        <family val="1"/>
      </rPr>
      <t>1</t>
    </r>
  </si>
  <si>
    <r>
      <rPr>
        <b/>
        <sz val="16"/>
        <color rgb="FFFF0000"/>
        <rFont val="Times New Roman"/>
        <family val="1"/>
      </rPr>
      <t>n</t>
    </r>
    <r>
      <rPr>
        <b/>
        <sz val="9"/>
        <color rgb="FFFF0000"/>
        <rFont val="Times New Roman"/>
        <family val="1"/>
      </rPr>
      <t>0</t>
    </r>
  </si>
  <si>
    <r>
      <rPr>
        <b/>
        <sz val="14"/>
        <color rgb="FFFF0000"/>
        <rFont val="Times New Roman"/>
        <family val="1"/>
      </rPr>
      <t>n</t>
    </r>
    <r>
      <rPr>
        <b/>
        <sz val="10"/>
        <color rgb="FFFF0000"/>
        <rFont val="Times New Roman"/>
        <family val="1"/>
      </rPr>
      <t>1</t>
    </r>
  </si>
  <si>
    <t>معامل اختراق بيتون بلاطة الحماية</t>
  </si>
  <si>
    <t>معامل اختراق بيتون السقف</t>
  </si>
  <si>
    <r>
      <t>k</t>
    </r>
    <r>
      <rPr>
        <sz val="9"/>
        <color rgb="FFFF0000"/>
        <rFont val="Times New Roman"/>
        <family val="1"/>
      </rPr>
      <t>пр.бt</t>
    </r>
  </si>
  <si>
    <r>
      <t>k</t>
    </r>
    <r>
      <rPr>
        <sz val="9"/>
        <color rgb="FFFF0000"/>
        <rFont val="Times New Roman"/>
        <family val="1"/>
      </rPr>
      <t>пр.б</t>
    </r>
  </si>
  <si>
    <t>عامل تصدع بيتون البلاطة من جهة الانفجار</t>
  </si>
  <si>
    <r>
      <rPr>
        <sz val="16"/>
        <color rgb="FFFF0000"/>
        <rFont val="Times New Roman"/>
        <family val="1"/>
      </rPr>
      <t>a</t>
    </r>
    <r>
      <rPr>
        <sz val="10"/>
        <color rgb="FFFF0000"/>
        <rFont val="Times New Roman"/>
        <family val="1"/>
      </rPr>
      <t>эt</t>
    </r>
  </si>
  <si>
    <r>
      <rPr>
        <sz val="16"/>
        <color rgb="FFFF0000"/>
        <rFont val="Times New Roman"/>
        <family val="1"/>
      </rPr>
      <t>b</t>
    </r>
    <r>
      <rPr>
        <sz val="10"/>
        <color rgb="FFFF0000"/>
        <rFont val="Times New Roman"/>
        <family val="1"/>
      </rPr>
      <t>p</t>
    </r>
  </si>
  <si>
    <r>
      <rPr>
        <sz val="16"/>
        <color rgb="FFFF0000"/>
        <rFont val="Times New Roman"/>
        <family val="1"/>
      </rPr>
      <t>a</t>
    </r>
    <r>
      <rPr>
        <sz val="9"/>
        <color rgb="FFFF0000"/>
        <rFont val="Times New Roman"/>
        <family val="1"/>
      </rPr>
      <t>p</t>
    </r>
  </si>
  <si>
    <r>
      <t>H</t>
    </r>
    <r>
      <rPr>
        <sz val="9"/>
        <color rgb="FFFF0000"/>
        <rFont val="Times New Roman"/>
        <family val="1"/>
      </rPr>
      <t>ct</t>
    </r>
  </si>
  <si>
    <r>
      <t>H</t>
    </r>
    <r>
      <rPr>
        <sz val="9"/>
        <color rgb="FFFF0000"/>
        <rFont val="Times New Roman"/>
        <family val="1"/>
      </rPr>
      <t>ф</t>
    </r>
  </si>
  <si>
    <r>
      <t>H</t>
    </r>
    <r>
      <rPr>
        <sz val="9"/>
        <color rgb="FFFF0000"/>
        <rFont val="Times New Roman"/>
        <family val="1"/>
      </rPr>
      <t>п</t>
    </r>
  </si>
  <si>
    <r>
      <t>k</t>
    </r>
    <r>
      <rPr>
        <sz val="9"/>
        <color rgb="FFFF0000"/>
        <rFont val="Times New Roman"/>
        <family val="1"/>
      </rPr>
      <t>пр.г</t>
    </r>
  </si>
  <si>
    <r>
      <t>k</t>
    </r>
    <r>
      <rPr>
        <b/>
        <sz val="9"/>
        <color rgb="FFFF0000"/>
        <rFont val="Times New Roman"/>
        <family val="1"/>
      </rPr>
      <t>р.г</t>
    </r>
  </si>
  <si>
    <r>
      <t>k</t>
    </r>
    <r>
      <rPr>
        <b/>
        <sz val="9"/>
        <color rgb="FFFF0000"/>
        <rFont val="Times New Roman"/>
        <family val="1"/>
      </rPr>
      <t>р.бt</t>
    </r>
  </si>
  <si>
    <r>
      <rPr>
        <b/>
        <sz val="16"/>
        <color rgb="FFFF0000"/>
        <rFont val="Times New Roman"/>
        <family val="1"/>
      </rPr>
      <t>h</t>
    </r>
    <r>
      <rPr>
        <b/>
        <sz val="10"/>
        <color rgb="FFFF0000"/>
        <rFont val="Times New Roman"/>
        <family val="1"/>
      </rPr>
      <t>oбc</t>
    </r>
  </si>
  <si>
    <t>سماكة طبقة التمويه</t>
  </si>
  <si>
    <r>
      <rPr>
        <b/>
        <sz val="14"/>
        <color theme="1"/>
        <rFont val="Times New Roman"/>
        <family val="1"/>
      </rPr>
      <t>h</t>
    </r>
    <r>
      <rPr>
        <b/>
        <sz val="10"/>
        <color theme="1"/>
        <rFont val="Times New Roman"/>
        <family val="1"/>
      </rPr>
      <t>οбc</t>
    </r>
    <r>
      <rPr>
        <b/>
        <sz val="12"/>
        <color theme="1"/>
        <rFont val="Times New Roman"/>
        <family val="1"/>
      </rPr>
      <t>,m</t>
    </r>
  </si>
  <si>
    <r>
      <rPr>
        <b/>
        <sz val="16"/>
        <color rgb="FFFF0000"/>
        <rFont val="Times New Roman"/>
        <family val="1"/>
      </rPr>
      <t>k</t>
    </r>
    <r>
      <rPr>
        <b/>
        <sz val="12"/>
        <color rgb="FFFF0000"/>
        <rFont val="Times New Roman"/>
        <family val="1"/>
      </rPr>
      <t>вt.бt</t>
    </r>
  </si>
  <si>
    <r>
      <t>K</t>
    </r>
    <r>
      <rPr>
        <b/>
        <sz val="10"/>
        <rFont val="Times New Roman"/>
        <family val="1"/>
      </rPr>
      <t xml:space="preserve"> kp.ct</t>
    </r>
  </si>
  <si>
    <r>
      <rPr>
        <b/>
        <sz val="14"/>
        <color rgb="FFFF0000"/>
        <rFont val="Times New Roman"/>
        <family val="1"/>
      </rPr>
      <t>K</t>
    </r>
    <r>
      <rPr>
        <b/>
        <sz val="10"/>
        <color rgb="FFFF0000"/>
        <rFont val="Times New Roman"/>
        <family val="1"/>
      </rPr>
      <t>p.pc</t>
    </r>
  </si>
  <si>
    <r>
      <rPr>
        <b/>
        <sz val="16"/>
        <color rgb="FFFF0000"/>
        <rFont val="Times New Roman"/>
        <family val="1"/>
      </rPr>
      <t>a</t>
    </r>
    <r>
      <rPr>
        <sz val="10"/>
        <color rgb="FFFF0000"/>
        <rFont val="Times New Roman"/>
        <family val="1"/>
      </rPr>
      <t>0п</t>
    </r>
  </si>
  <si>
    <r>
      <rPr>
        <b/>
        <sz val="16"/>
        <color rgb="FFFF0000"/>
        <rFont val="Times New Roman"/>
        <family val="1"/>
      </rPr>
      <t>a</t>
    </r>
    <r>
      <rPr>
        <sz val="10"/>
        <color rgb="FFFF0000"/>
        <rFont val="Times New Roman"/>
        <family val="1"/>
      </rPr>
      <t>0п</t>
    </r>
    <r>
      <rPr>
        <sz val="14"/>
        <color rgb="FFFF0000"/>
        <rFont val="Times New Roman"/>
        <family val="1"/>
      </rPr>
      <t>/</t>
    </r>
    <r>
      <rPr>
        <b/>
        <sz val="16"/>
        <color rgb="FFFF0000"/>
        <rFont val="Times New Roman"/>
        <family val="1"/>
      </rPr>
      <t>a</t>
    </r>
    <r>
      <rPr>
        <sz val="10"/>
        <color rgb="FFFF0000"/>
        <rFont val="Times New Roman"/>
        <family val="1"/>
      </rPr>
      <t>1п</t>
    </r>
  </si>
  <si>
    <r>
      <rPr>
        <b/>
        <sz val="16"/>
        <color rgb="FFFF0000"/>
        <rFont val="Times New Roman"/>
        <family val="1"/>
      </rPr>
      <t>a</t>
    </r>
    <r>
      <rPr>
        <sz val="10"/>
        <color rgb="FFFF0000"/>
        <rFont val="Times New Roman"/>
        <family val="1"/>
      </rPr>
      <t>0c</t>
    </r>
  </si>
  <si>
    <r>
      <rPr>
        <b/>
        <sz val="16"/>
        <color rgb="FFFF0000"/>
        <rFont val="Times New Roman"/>
        <family val="1"/>
      </rPr>
      <t>a</t>
    </r>
    <r>
      <rPr>
        <sz val="10"/>
        <color rgb="FFFF0000"/>
        <rFont val="Times New Roman"/>
        <family val="1"/>
      </rPr>
      <t>0c</t>
    </r>
    <r>
      <rPr>
        <sz val="14"/>
        <color rgb="FFFF0000"/>
        <rFont val="Times New Roman"/>
        <family val="1"/>
      </rPr>
      <t>/</t>
    </r>
    <r>
      <rPr>
        <b/>
        <sz val="16"/>
        <color rgb="FFFF0000"/>
        <rFont val="Times New Roman"/>
        <family val="1"/>
      </rPr>
      <t>a</t>
    </r>
    <r>
      <rPr>
        <sz val="10"/>
        <color rgb="FFFF0000"/>
        <rFont val="Times New Roman"/>
        <family val="1"/>
      </rPr>
      <t>1c</t>
    </r>
  </si>
  <si>
    <r>
      <t>Rs</t>
    </r>
    <r>
      <rPr>
        <sz val="10"/>
        <color rgb="FFFF0000"/>
        <rFont val="Times New Roman"/>
        <family val="2"/>
      </rPr>
      <t>H</t>
    </r>
  </si>
  <si>
    <r>
      <t>Rb</t>
    </r>
    <r>
      <rPr>
        <sz val="10"/>
        <color rgb="FFFF0000"/>
        <rFont val="Times New Roman"/>
        <family val="2"/>
      </rPr>
      <t>H</t>
    </r>
  </si>
  <si>
    <r>
      <t>K</t>
    </r>
    <r>
      <rPr>
        <sz val="9"/>
        <color rgb="FFFF0000"/>
        <rFont val="Times New Roman"/>
        <family val="2"/>
      </rPr>
      <t>пοд.b</t>
    </r>
  </si>
  <si>
    <r>
      <t>P</t>
    </r>
    <r>
      <rPr>
        <sz val="10"/>
        <color rgb="FFFF0000"/>
        <rFont val="Times New Roman"/>
        <family val="2"/>
      </rPr>
      <t>k</t>
    </r>
  </si>
  <si>
    <t>Pk =</t>
  </si>
  <si>
    <t>وزن المنشأة , طن</t>
  </si>
  <si>
    <r>
      <t>ρ,</t>
    </r>
    <r>
      <rPr>
        <b/>
        <sz val="10"/>
        <color rgb="FFFF0000"/>
        <rFont val="Times New Roman"/>
        <family val="1"/>
      </rPr>
      <t>kg.s2/m4</t>
    </r>
  </si>
  <si>
    <r>
      <t>R</t>
    </r>
    <r>
      <rPr>
        <b/>
        <sz val="9"/>
        <color rgb="FFFF0000"/>
        <rFont val="Times New Roman"/>
        <family val="1"/>
      </rPr>
      <t>٭־п</t>
    </r>
  </si>
  <si>
    <r>
      <rPr>
        <b/>
        <sz val="14"/>
        <color rgb="FFFF0000"/>
        <rFont val="Times New Roman"/>
        <family val="1"/>
      </rPr>
      <t>μ</t>
    </r>
    <r>
      <rPr>
        <b/>
        <sz val="12"/>
        <color rgb="FFFF0000"/>
        <rFont val="Times New Roman"/>
        <family val="1"/>
      </rPr>
      <t>п</t>
    </r>
  </si>
  <si>
    <r>
      <rPr>
        <b/>
        <sz val="14"/>
        <color rgb="FFFF0000"/>
        <rFont val="Times New Roman"/>
        <family val="1"/>
      </rPr>
      <t>η</t>
    </r>
    <r>
      <rPr>
        <b/>
        <sz val="12"/>
        <color rgb="FFFF0000"/>
        <rFont val="Times New Roman"/>
        <family val="1"/>
      </rPr>
      <t>п</t>
    </r>
  </si>
  <si>
    <r>
      <rPr>
        <b/>
        <sz val="16"/>
        <color rgb="FFFF0000"/>
        <rFont val="Times New Roman"/>
        <family val="1"/>
      </rPr>
      <t>a</t>
    </r>
    <r>
      <rPr>
        <sz val="10"/>
        <color rgb="FFFF0000"/>
        <rFont val="Times New Roman"/>
        <family val="1"/>
      </rPr>
      <t>0пz</t>
    </r>
  </si>
  <si>
    <r>
      <rPr>
        <b/>
        <sz val="16"/>
        <color rgb="FFFF0000"/>
        <rFont val="Times New Roman"/>
        <family val="1"/>
      </rPr>
      <t>a</t>
    </r>
    <r>
      <rPr>
        <sz val="10"/>
        <color rgb="FFFF0000"/>
        <rFont val="Times New Roman"/>
        <family val="1"/>
      </rPr>
      <t>0cz</t>
    </r>
  </si>
  <si>
    <r>
      <rPr>
        <b/>
        <sz val="16"/>
        <color rgb="FFFF0000"/>
        <rFont val="Times New Roman"/>
        <family val="1"/>
      </rPr>
      <t>a</t>
    </r>
    <r>
      <rPr>
        <sz val="9"/>
        <color rgb="FFFF0000"/>
        <rFont val="Times New Roman"/>
        <family val="1"/>
      </rPr>
      <t>1п</t>
    </r>
  </si>
  <si>
    <r>
      <rPr>
        <b/>
        <sz val="16"/>
        <color rgb="FFFF0000"/>
        <rFont val="Times New Roman"/>
        <family val="1"/>
      </rPr>
      <t>a</t>
    </r>
    <r>
      <rPr>
        <sz val="10"/>
        <color rgb="FFFF0000"/>
        <rFont val="Times New Roman"/>
        <family val="1"/>
      </rPr>
      <t>1c</t>
    </r>
  </si>
  <si>
    <r>
      <rPr>
        <b/>
        <sz val="16"/>
        <color rgb="FFFF0000"/>
        <rFont val="Times New Roman"/>
        <family val="1"/>
      </rPr>
      <t>a</t>
    </r>
    <r>
      <rPr>
        <sz val="10"/>
        <color rgb="FFFF0000"/>
        <rFont val="Times New Roman"/>
        <family val="1"/>
      </rPr>
      <t>1пz</t>
    </r>
  </si>
  <si>
    <r>
      <rPr>
        <b/>
        <sz val="16"/>
        <color rgb="FFFF0000"/>
        <rFont val="Times New Roman"/>
        <family val="1"/>
      </rPr>
      <t>a</t>
    </r>
    <r>
      <rPr>
        <sz val="10"/>
        <color rgb="FFFF0000"/>
        <rFont val="Times New Roman"/>
        <family val="1"/>
      </rPr>
      <t>1cz</t>
    </r>
  </si>
  <si>
    <r>
      <t>K</t>
    </r>
    <r>
      <rPr>
        <sz val="9"/>
        <color rgb="FFFF0000"/>
        <rFont val="Times New Roman"/>
        <family val="2"/>
      </rPr>
      <t>пοд.s</t>
    </r>
  </si>
  <si>
    <t>كغ.سم</t>
  </si>
  <si>
    <t xml:space="preserve">τ = Kt*0.0035*(Cэф)^0.333 </t>
  </si>
  <si>
    <t>me.д=(hoбc*γoбc+ht*γb+Hp.c*γp.c+Hп*γb)/(9.81)</t>
  </si>
  <si>
    <t>hᴈ =hб</t>
  </si>
  <si>
    <r>
      <t>me.д=(Zc*</t>
    </r>
    <r>
      <rPr>
        <sz val="12"/>
        <color theme="1"/>
        <rFont val="Times New Roman"/>
        <family val="1"/>
      </rPr>
      <t>γг*ξ)*/9.81</t>
    </r>
  </si>
  <si>
    <t>كغ/m2</t>
  </si>
  <si>
    <t xml:space="preserve">x=(Rsd*Fas)/(Rbd) </t>
  </si>
  <si>
    <t>كغ.م2</t>
  </si>
  <si>
    <t>B=0.85*Ea*Fa.s*(h0-x)(h0-0.5x)*10000</t>
  </si>
  <si>
    <t>كغ ثا2/م3</t>
  </si>
  <si>
    <t>ثا^-1</t>
  </si>
  <si>
    <r>
      <t>Fa.s =h0*</t>
    </r>
    <r>
      <rPr>
        <sz val="12"/>
        <color theme="1"/>
        <rFont val="Times New Roman"/>
        <family val="1"/>
      </rPr>
      <t>ψ*b(=1m)</t>
    </r>
  </si>
  <si>
    <t>kg.m2</t>
  </si>
  <si>
    <t>kg.c2/m3</t>
  </si>
  <si>
    <t>يتم حسابه تلقائيا لذلك لاداعي للادخال هنا</t>
  </si>
  <si>
    <t>طبقة التمويه</t>
  </si>
  <si>
    <t>التربة الاساسية</t>
  </si>
  <si>
    <t>طبقة توزيع الضغط</t>
  </si>
  <si>
    <t>البيتون</t>
  </si>
  <si>
    <t>الوزن الحجمي, كغ/م3</t>
  </si>
  <si>
    <t>مع دكة</t>
  </si>
  <si>
    <t>بدون دكة</t>
  </si>
  <si>
    <r>
      <t xml:space="preserve">قيمة  </t>
    </r>
    <r>
      <rPr>
        <b/>
        <sz val="14"/>
        <color theme="1"/>
        <rFont val="Times New Roman"/>
        <family val="1"/>
      </rPr>
      <t>m</t>
    </r>
  </si>
  <si>
    <t>جدول يبين قيمة عامل الدكة حسب عمق التوضع وحسب النسبة(h/zp)</t>
  </si>
  <si>
    <r>
      <t>بغض النظر عن قيمة (</t>
    </r>
    <r>
      <rPr>
        <b/>
        <sz val="14"/>
        <color theme="1"/>
        <rFont val="Times New Roman"/>
        <family val="1"/>
      </rPr>
      <t>h</t>
    </r>
    <r>
      <rPr>
        <b/>
        <sz val="12"/>
        <color theme="1"/>
        <rFont val="Times New Roman"/>
        <family val="1"/>
      </rPr>
      <t>/</t>
    </r>
    <r>
      <rPr>
        <b/>
        <sz val="16"/>
        <color theme="1"/>
        <rFont val="Times New Roman"/>
        <family val="1"/>
      </rPr>
      <t>z</t>
    </r>
    <r>
      <rPr>
        <b/>
        <sz val="12"/>
        <color theme="1"/>
        <rFont val="Times New Roman"/>
        <family val="1"/>
      </rPr>
      <t>p)</t>
    </r>
  </si>
  <si>
    <r>
      <rPr>
        <b/>
        <sz val="14"/>
        <color theme="1"/>
        <rFont val="Times New Roman"/>
        <family val="1"/>
      </rPr>
      <t>(h/z</t>
    </r>
    <r>
      <rPr>
        <b/>
        <sz val="12"/>
        <color theme="1"/>
        <rFont val="Times New Roman"/>
        <family val="1"/>
      </rPr>
      <t>p</t>
    </r>
    <r>
      <rPr>
        <b/>
        <sz val="14"/>
        <color theme="1"/>
        <rFont val="Times New Roman"/>
        <family val="1"/>
      </rPr>
      <t>)</t>
    </r>
    <r>
      <rPr>
        <b/>
        <sz val="12"/>
        <color theme="1"/>
        <rFont val="Times New Roman"/>
        <family val="1"/>
      </rPr>
      <t xml:space="preserve">   عند</t>
    </r>
  </si>
  <si>
    <t>قيمة العزم</t>
  </si>
  <si>
    <t>سقف</t>
  </si>
  <si>
    <t>جدار</t>
  </si>
  <si>
    <t>قيمة (q)</t>
  </si>
  <si>
    <t>كغ/سم</t>
  </si>
  <si>
    <t>سيدي المحترم: بما ان العزوم مختلفة حسب عدد المجازات وابعادها فلا يمكن ان ندخلها في الحسابات ولكن سنعطيك قيمة القوة (q) التي تؤثر على السقف وعلى الجدار</t>
  </si>
  <si>
    <t xml:space="preserve">ملاحظة مهمة: قد تكون التربة عندك غير معروضة هنا, لذلك ياصديقي يجب ان تشغل مخك </t>
  </si>
  <si>
    <t xml:space="preserve">ويمكنك ان تختار قيمة معاملات هذه التربة حسب تقديرك. مثلا: اذا حفرت المنشأة في تربة صخرية </t>
  </si>
  <si>
    <t>قساوة بقليل فخفض او زد قيمة هذه المعاملات بعد المقارنة العقلية مع انواع التربة المدرجة في الجداول</t>
  </si>
  <si>
    <t xml:space="preserve">فهل هذه التربة قاسية مثل البيتون العادي اذا كان كذلك استخدم معاملات البيتون العادي واذا كانت اقل </t>
  </si>
  <si>
    <t>اي هل تخفض ام تزيد وكم تخفض او تزيد</t>
  </si>
  <si>
    <t>طول المجاز الصغير</t>
  </si>
  <si>
    <r>
      <rPr>
        <b/>
        <sz val="16"/>
        <color theme="1"/>
        <rFont val="Times New Roman"/>
        <family val="1"/>
      </rPr>
      <t>n</t>
    </r>
    <r>
      <rPr>
        <b/>
        <sz val="9"/>
        <color theme="1"/>
        <rFont val="Times New Roman"/>
        <family val="1"/>
      </rPr>
      <t>0</t>
    </r>
  </si>
  <si>
    <t>Hc,m</t>
  </si>
  <si>
    <t>Hф,m</t>
  </si>
  <si>
    <t>لذلك خذها واحسب العزم الاعظمي للجدار والسقف  وادخله في المربعات الحمراء حسب الوحدة المبينة</t>
  </si>
  <si>
    <r>
      <rPr>
        <b/>
        <sz val="12"/>
        <color theme="1"/>
        <rFont val="Times New Roman"/>
        <family val="1"/>
      </rPr>
      <t>القنبلة المستخدمة</t>
    </r>
    <r>
      <rPr>
        <sz val="12"/>
        <color theme="1"/>
        <rFont val="Times New Roman"/>
        <family val="2"/>
      </rPr>
      <t xml:space="preserve">: ان هذه الدراسة تخص القنابل الخارقة التي تخرق مسافة معينة في بلاطة الحماية وتنفجر بعد زمن </t>
    </r>
  </si>
  <si>
    <r>
      <rPr>
        <b/>
        <sz val="14"/>
        <color theme="1"/>
        <rFont val="Times New Roman"/>
        <family val="1"/>
      </rPr>
      <t>h</t>
    </r>
    <r>
      <rPr>
        <b/>
        <sz val="12"/>
        <color theme="1"/>
        <rFont val="Times New Roman"/>
        <family val="1"/>
      </rPr>
      <t xml:space="preserve">t = </t>
    </r>
    <r>
      <rPr>
        <b/>
        <sz val="14"/>
        <color theme="1"/>
        <rFont val="Times New Roman"/>
        <family val="1"/>
      </rPr>
      <t>h</t>
    </r>
    <r>
      <rPr>
        <b/>
        <sz val="12"/>
        <color theme="1"/>
        <rFont val="Times New Roman"/>
        <family val="1"/>
      </rPr>
      <t>np.t+</t>
    </r>
    <r>
      <rPr>
        <b/>
        <sz val="14"/>
        <color theme="1"/>
        <rFont val="Times New Roman"/>
        <family val="1"/>
      </rPr>
      <t>n</t>
    </r>
    <r>
      <rPr>
        <b/>
        <sz val="12"/>
        <color theme="1"/>
        <rFont val="Times New Roman"/>
        <family val="1"/>
      </rPr>
      <t>0(Zвt -</t>
    </r>
    <r>
      <rPr>
        <b/>
        <sz val="14"/>
        <color theme="1"/>
        <rFont val="Times New Roman"/>
        <family val="1"/>
      </rPr>
      <t>ц)</t>
    </r>
  </si>
  <si>
    <r>
      <rPr>
        <b/>
        <sz val="14"/>
        <color theme="1"/>
        <rFont val="Times New Roman"/>
        <family val="1"/>
      </rPr>
      <t>h</t>
    </r>
    <r>
      <rPr>
        <sz val="10"/>
        <color theme="1"/>
        <rFont val="Times New Roman"/>
        <family val="1"/>
      </rPr>
      <t>пр.t</t>
    </r>
    <r>
      <rPr>
        <sz val="12"/>
        <color theme="1"/>
        <rFont val="Times New Roman"/>
        <family val="2"/>
      </rPr>
      <t xml:space="preserve"> = </t>
    </r>
    <r>
      <rPr>
        <sz val="14"/>
        <color theme="1"/>
        <rFont val="Times New Roman"/>
        <family val="1"/>
      </rPr>
      <t>λ</t>
    </r>
    <r>
      <rPr>
        <sz val="9"/>
        <color theme="1"/>
        <rFont val="Times New Roman"/>
        <family val="1"/>
      </rPr>
      <t>1</t>
    </r>
    <r>
      <rPr>
        <sz val="12"/>
        <color theme="1"/>
        <rFont val="Times New Roman"/>
        <family val="2"/>
      </rPr>
      <t>*</t>
    </r>
    <r>
      <rPr>
        <sz val="14"/>
        <color theme="1"/>
        <rFont val="Times New Roman"/>
        <family val="1"/>
      </rPr>
      <t>λ</t>
    </r>
    <r>
      <rPr>
        <sz val="9"/>
        <color theme="1"/>
        <rFont val="Times New Roman"/>
        <family val="1"/>
      </rPr>
      <t>2</t>
    </r>
    <r>
      <rPr>
        <sz val="12"/>
        <color theme="1"/>
        <rFont val="Times New Roman"/>
        <family val="2"/>
      </rPr>
      <t>*</t>
    </r>
    <r>
      <rPr>
        <sz val="14"/>
        <color theme="1"/>
        <rFont val="Times New Roman"/>
        <family val="1"/>
      </rPr>
      <t>k</t>
    </r>
    <r>
      <rPr>
        <sz val="10"/>
        <color theme="1"/>
        <rFont val="Times New Roman"/>
        <family val="1"/>
      </rPr>
      <t>пр.t*</t>
    </r>
    <r>
      <rPr>
        <sz val="14"/>
        <color theme="1"/>
        <rFont val="Times New Roman"/>
        <family val="1"/>
      </rPr>
      <t>p/(d)^</t>
    </r>
    <r>
      <rPr>
        <sz val="11"/>
        <color theme="1"/>
        <rFont val="Times New Roman"/>
        <family val="1"/>
      </rPr>
      <t>2</t>
    </r>
    <r>
      <rPr>
        <sz val="14"/>
        <color theme="1"/>
        <rFont val="Times New Roman"/>
        <family val="1"/>
      </rPr>
      <t>*V*COS((α+nα)/2), m</t>
    </r>
  </si>
  <si>
    <r>
      <t>n ={3.5 -l</t>
    </r>
    <r>
      <rPr>
        <sz val="12"/>
        <color theme="1"/>
        <rFont val="Times New Roman"/>
        <family val="1"/>
      </rPr>
      <t>гч</t>
    </r>
    <r>
      <rPr>
        <sz val="12"/>
        <color theme="1"/>
        <rFont val="Times New Roman"/>
        <family val="2"/>
      </rPr>
      <t>/d)</t>
    </r>
  </si>
  <si>
    <r>
      <rPr>
        <b/>
        <sz val="16"/>
        <color theme="1"/>
        <rFont val="Times New Roman"/>
        <family val="1"/>
      </rPr>
      <t>ц</t>
    </r>
    <r>
      <rPr>
        <sz val="12"/>
        <color theme="1"/>
        <rFont val="Times New Roman"/>
        <family val="2"/>
      </rPr>
      <t xml:space="preserve">=0.5 </t>
    </r>
    <r>
      <rPr>
        <sz val="16"/>
        <color theme="1"/>
        <rFont val="Times New Roman"/>
        <family val="1"/>
      </rPr>
      <t>l</t>
    </r>
    <r>
      <rPr>
        <sz val="10"/>
        <color theme="1"/>
        <rFont val="Times New Roman"/>
        <family val="1"/>
      </rPr>
      <t>k*COS((α+nα)/2)</t>
    </r>
  </si>
  <si>
    <r>
      <t>Hpc =R0 -(ht-hnp.t)*(K</t>
    </r>
    <r>
      <rPr>
        <b/>
        <sz val="10"/>
        <color theme="1"/>
        <rFont val="Times New Roman"/>
        <family val="1"/>
      </rPr>
      <t>p.pc</t>
    </r>
    <r>
      <rPr>
        <b/>
        <sz val="12"/>
        <color theme="1"/>
        <rFont val="Times New Roman"/>
        <family val="1"/>
      </rPr>
      <t>/K</t>
    </r>
    <r>
      <rPr>
        <b/>
        <sz val="10"/>
        <color theme="1"/>
        <rFont val="Times New Roman"/>
        <family val="1"/>
      </rPr>
      <t>p.б</t>
    </r>
    <r>
      <rPr>
        <b/>
        <sz val="12"/>
        <color theme="1"/>
        <rFont val="Times New Roman"/>
        <family val="1"/>
      </rPr>
      <t>t)-ц</t>
    </r>
  </si>
  <si>
    <r>
      <t xml:space="preserve">hᴈ = hoбc+hnp.t - </t>
    </r>
    <r>
      <rPr>
        <sz val="12"/>
        <color theme="1"/>
        <rFont val="Times New Roman"/>
        <family val="1"/>
      </rPr>
      <t>ц</t>
    </r>
  </si>
  <si>
    <r>
      <t>Rэkв= ц + (ht+</t>
    </r>
    <r>
      <rPr>
        <sz val="12"/>
        <color theme="1"/>
        <rFont val="Times New Roman"/>
        <family val="1"/>
      </rPr>
      <t>ц</t>
    </r>
    <r>
      <rPr>
        <sz val="12"/>
        <color theme="1"/>
        <rFont val="Times New Roman"/>
        <family val="2"/>
      </rPr>
      <t>-hnp.t)</t>
    </r>
    <r>
      <rPr>
        <sz val="12"/>
        <color theme="1"/>
        <rFont val="Times New Roman"/>
        <family val="2"/>
      </rPr>
      <t>*(k</t>
    </r>
    <r>
      <rPr>
        <sz val="10"/>
        <color theme="1"/>
        <rFont val="Times New Roman"/>
        <family val="1"/>
      </rPr>
      <t>p.pc</t>
    </r>
    <r>
      <rPr>
        <sz val="12"/>
        <color theme="1"/>
        <rFont val="Times New Roman"/>
        <family val="2"/>
      </rPr>
      <t>/k</t>
    </r>
    <r>
      <rPr>
        <sz val="10"/>
        <color theme="1"/>
        <rFont val="Times New Roman"/>
        <family val="1"/>
      </rPr>
      <t>р.бt</t>
    </r>
    <r>
      <rPr>
        <sz val="12"/>
        <color theme="1"/>
        <rFont val="Times New Roman"/>
        <family val="2"/>
      </rPr>
      <t>)+Hp.c</t>
    </r>
  </si>
  <si>
    <r>
      <t>Pct =</t>
    </r>
    <r>
      <rPr>
        <sz val="16"/>
        <color theme="1"/>
        <rFont val="Times New Roman"/>
        <family val="1"/>
      </rPr>
      <t>m</t>
    </r>
    <r>
      <rPr>
        <sz val="12"/>
        <color theme="1"/>
        <rFont val="Times New Roman"/>
        <family val="2"/>
      </rPr>
      <t>e</t>
    </r>
    <r>
      <rPr>
        <sz val="12"/>
        <color theme="1"/>
        <rFont val="Times New Roman"/>
        <family val="1"/>
      </rPr>
      <t>д*9.81/10000</t>
    </r>
  </si>
  <si>
    <t>صخر كلسي</t>
  </si>
  <si>
    <t>طبقة رمل نقي طبيعي/او طبقة كلسية مفتتة</t>
  </si>
</sst>
</file>

<file path=xl/styles.xml><?xml version="1.0" encoding="utf-8"?>
<styleSheet xmlns="http://schemas.openxmlformats.org/spreadsheetml/2006/main">
  <fonts count="39">
    <font>
      <sz val="12"/>
      <color theme="1"/>
      <name val="Times New Roman"/>
      <family val="2"/>
    </font>
    <font>
      <sz val="12"/>
      <color theme="1"/>
      <name val="Times New Roman"/>
      <family val="1"/>
    </font>
    <font>
      <sz val="10"/>
      <color theme="1"/>
      <name val="Times New Roman"/>
      <family val="1"/>
    </font>
    <font>
      <sz val="16"/>
      <color theme="1"/>
      <name val="Times New Roman"/>
      <family val="1"/>
    </font>
    <font>
      <sz val="9"/>
      <color theme="1"/>
      <name val="Times New Roman"/>
      <family val="1"/>
    </font>
    <font>
      <b/>
      <sz val="10"/>
      <color theme="1"/>
      <name val="Times New Roman"/>
      <family val="1"/>
    </font>
    <font>
      <b/>
      <sz val="12"/>
      <color theme="1"/>
      <name val="Times New Roman"/>
      <family val="1"/>
    </font>
    <font>
      <b/>
      <sz val="16"/>
      <color theme="1"/>
      <name val="Times New Roman"/>
      <family val="1"/>
    </font>
    <font>
      <sz val="10"/>
      <color theme="1"/>
      <name val="Times New Roman"/>
      <family val="2"/>
    </font>
    <font>
      <b/>
      <sz val="9"/>
      <color theme="1"/>
      <name val="Times New Roman"/>
      <family val="1"/>
    </font>
    <font>
      <b/>
      <sz val="16"/>
      <color rgb="FFFF0000"/>
      <name val="Times New Roman"/>
      <family val="1"/>
    </font>
    <font>
      <b/>
      <sz val="16"/>
      <color rgb="FFFFFF00"/>
      <name val="Times New Roman"/>
      <family val="1"/>
    </font>
    <font>
      <b/>
      <sz val="10"/>
      <color rgb="FFFFFF00"/>
      <name val="Times New Roman"/>
      <family val="1"/>
    </font>
    <font>
      <b/>
      <sz val="11"/>
      <color theme="1"/>
      <name val="Times New Roman"/>
      <family val="1"/>
    </font>
    <font>
      <b/>
      <sz val="14"/>
      <color theme="1"/>
      <name val="Times New Roman"/>
      <family val="1"/>
    </font>
    <font>
      <sz val="11"/>
      <color theme="1"/>
      <name val="Times New Roman"/>
      <family val="1"/>
    </font>
    <font>
      <b/>
      <sz val="8"/>
      <color theme="1"/>
      <name val="Times New Roman"/>
      <family val="1"/>
    </font>
    <font>
      <sz val="14"/>
      <color theme="1"/>
      <name val="Times New Roman"/>
      <family val="1"/>
    </font>
    <font>
      <sz val="8"/>
      <color theme="1"/>
      <name val="Times New Roman"/>
      <family val="1"/>
    </font>
    <font>
      <b/>
      <sz val="9"/>
      <name val="Times New Roman"/>
      <family val="2"/>
    </font>
    <font>
      <b/>
      <sz val="12"/>
      <name val="Times New Roman"/>
      <family val="1"/>
    </font>
    <font>
      <b/>
      <sz val="10"/>
      <color rgb="FFFF0000"/>
      <name val="Times New Roman"/>
      <family val="1"/>
    </font>
    <font>
      <sz val="12"/>
      <color rgb="FFFF0000"/>
      <name val="Times New Roman"/>
      <family val="2"/>
    </font>
    <font>
      <sz val="9"/>
      <color rgb="FFFF0000"/>
      <name val="Times New Roman"/>
      <family val="2"/>
    </font>
    <font>
      <sz val="8"/>
      <color rgb="FFFF0000"/>
      <name val="Times New Roman"/>
      <family val="2"/>
    </font>
    <font>
      <sz val="10"/>
      <color rgb="FFFF0000"/>
      <name val="Times New Roman"/>
      <family val="2"/>
    </font>
    <font>
      <b/>
      <sz val="12"/>
      <color rgb="FFFF0000"/>
      <name val="Times New Roman"/>
      <family val="1"/>
    </font>
    <font>
      <sz val="12"/>
      <color rgb="FFFF0000"/>
      <name val="Times New Roman"/>
      <family val="1"/>
    </font>
    <font>
      <sz val="16"/>
      <color rgb="FFFF0000"/>
      <name val="Times New Roman"/>
      <family val="1"/>
    </font>
    <font>
      <sz val="9"/>
      <color rgb="FFFF0000"/>
      <name val="Times New Roman"/>
      <family val="1"/>
    </font>
    <font>
      <b/>
      <sz val="9"/>
      <color rgb="FFFF0000"/>
      <name val="Times New Roman"/>
      <family val="1"/>
    </font>
    <font>
      <b/>
      <sz val="14"/>
      <color rgb="FFFF0000"/>
      <name val="Times New Roman"/>
      <family val="1"/>
    </font>
    <font>
      <sz val="10"/>
      <color rgb="FFFF0000"/>
      <name val="Times New Roman"/>
      <family val="1"/>
    </font>
    <font>
      <b/>
      <sz val="10"/>
      <name val="Times New Roman"/>
      <family val="1"/>
    </font>
    <font>
      <sz val="14"/>
      <color rgb="FFFF0000"/>
      <name val="Times New Roman"/>
      <family val="1"/>
    </font>
    <font>
      <b/>
      <sz val="11"/>
      <color rgb="FFFF0000"/>
      <name val="Times New Roman"/>
      <family val="1"/>
    </font>
    <font>
      <sz val="12"/>
      <color rgb="FFFFFF00"/>
      <name val="Times New Roman"/>
      <family val="2"/>
    </font>
    <font>
      <b/>
      <sz val="12"/>
      <color rgb="FFFFFF00"/>
      <name val="Times New Roman"/>
      <family val="2"/>
    </font>
    <font>
      <b/>
      <sz val="11"/>
      <color rgb="FFFFFF00"/>
      <name val="Times New Roman"/>
      <family val="1"/>
    </font>
  </fonts>
  <fills count="2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50"/>
        <bgColor indexed="64"/>
      </patternFill>
    </fill>
    <fill>
      <patternFill patternType="solid">
        <fgColor theme="6"/>
        <bgColor indexed="64"/>
      </patternFill>
    </fill>
    <fill>
      <patternFill patternType="solid">
        <fgColor theme="0"/>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808080"/>
        <bgColor indexed="64"/>
      </patternFill>
    </fill>
    <fill>
      <patternFill patternType="solid">
        <fgColor theme="3" tint="-0.249977111117893"/>
        <bgColor indexed="64"/>
      </patternFill>
    </fill>
    <fill>
      <patternFill patternType="solid">
        <fgColor theme="4" tint="-0.499984740745262"/>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n">
        <color indexed="64"/>
      </left>
      <right/>
      <top style="thin">
        <color indexed="64"/>
      </top>
      <bottom/>
      <diagonal/>
    </border>
    <border>
      <left/>
      <right style="thick">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ck">
        <color indexed="64"/>
      </right>
      <top style="thin">
        <color indexed="64"/>
      </top>
      <bottom/>
      <diagonal/>
    </border>
    <border>
      <left/>
      <right/>
      <top style="thick">
        <color auto="1"/>
      </top>
      <bottom/>
      <diagonal/>
    </border>
    <border>
      <left/>
      <right style="medium">
        <color indexed="64"/>
      </right>
      <top style="thick">
        <color auto="1"/>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s>
  <cellStyleXfs count="1">
    <xf numFmtId="0" fontId="0" fillId="0" borderId="0"/>
  </cellStyleXfs>
  <cellXfs count="691">
    <xf numFmtId="0" fontId="0" fillId="0" borderId="0" xfId="0"/>
    <xf numFmtId="0" fontId="3" fillId="0" borderId="0" xfId="0" applyFont="1"/>
    <xf numFmtId="0" fontId="0" fillId="2" borderId="1" xfId="0" applyFill="1" applyBorder="1"/>
    <xf numFmtId="0" fontId="0" fillId="3" borderId="3" xfId="0" applyFill="1" applyBorder="1" applyAlignment="1">
      <alignment horizontal="center"/>
    </xf>
    <xf numFmtId="0" fontId="5" fillId="3" borderId="7" xfId="0" applyFont="1" applyFill="1" applyBorder="1" applyAlignment="1">
      <alignment horizontal="center" vertical="center"/>
    </xf>
    <xf numFmtId="0" fontId="0" fillId="3" borderId="1" xfId="0" applyFill="1" applyBorder="1" applyAlignment="1">
      <alignment horizontal="center"/>
    </xf>
    <xf numFmtId="0" fontId="5" fillId="3" borderId="8" xfId="0" applyFont="1" applyFill="1" applyBorder="1" applyAlignment="1">
      <alignment horizontal="center" vertical="center"/>
    </xf>
    <xf numFmtId="0" fontId="3" fillId="3" borderId="4" xfId="0" applyFont="1" applyFill="1" applyBorder="1" applyAlignment="1">
      <alignment horizontal="center"/>
    </xf>
    <xf numFmtId="0" fontId="0" fillId="0" borderId="0" xfId="0" applyAlignment="1">
      <alignment horizontal="center"/>
    </xf>
    <xf numFmtId="0" fontId="0" fillId="2" borderId="11" xfId="0" applyFill="1" applyBorder="1" applyAlignment="1">
      <alignment horizontal="center"/>
    </xf>
    <xf numFmtId="0" fontId="0" fillId="0" borderId="0" xfId="0" applyAlignment="1">
      <alignment horizontal="right"/>
    </xf>
    <xf numFmtId="0" fontId="1" fillId="0" borderId="0" xfId="0" applyFont="1" applyAlignment="1">
      <alignment horizontal="left"/>
    </xf>
    <xf numFmtId="0" fontId="0" fillId="2" borderId="12" xfId="0" applyFill="1" applyBorder="1" applyAlignment="1">
      <alignment horizontal="center"/>
    </xf>
    <xf numFmtId="16" fontId="0" fillId="0" borderId="0" xfId="0" applyNumberFormat="1"/>
    <xf numFmtId="11" fontId="0" fillId="0" borderId="0" xfId="0" applyNumberFormat="1" applyAlignment="1">
      <alignment readingOrder="2"/>
    </xf>
    <xf numFmtId="0" fontId="0" fillId="5" borderId="0" xfId="0" applyFill="1"/>
    <xf numFmtId="0" fontId="8" fillId="6" borderId="0" xfId="0" applyFont="1" applyFill="1"/>
    <xf numFmtId="0" fontId="8" fillId="6" borderId="0" xfId="0" applyFont="1" applyFill="1" applyAlignment="1"/>
    <xf numFmtId="0" fontId="5" fillId="6" borderId="0" xfId="0" applyFont="1" applyFill="1" applyAlignment="1"/>
    <xf numFmtId="0" fontId="0" fillId="6" borderId="0" xfId="0" applyFill="1"/>
    <xf numFmtId="0" fontId="6" fillId="0" borderId="0" xfId="0" applyFont="1" applyAlignment="1">
      <alignment horizontal="center"/>
    </xf>
    <xf numFmtId="0" fontId="0" fillId="4" borderId="12" xfId="0" applyFill="1" applyBorder="1" applyAlignment="1">
      <alignment horizontal="center"/>
    </xf>
    <xf numFmtId="0" fontId="6" fillId="4" borderId="12" xfId="0" applyFont="1" applyFill="1" applyBorder="1" applyAlignment="1">
      <alignment horizontal="center"/>
    </xf>
    <xf numFmtId="0" fontId="0" fillId="2" borderId="12" xfId="0" applyFill="1" applyBorder="1"/>
    <xf numFmtId="0" fontId="0" fillId="7" borderId="0" xfId="0" applyFill="1"/>
    <xf numFmtId="0" fontId="6" fillId="2" borderId="12" xfId="0" applyFont="1" applyFill="1" applyBorder="1" applyAlignment="1">
      <alignment horizontal="center"/>
    </xf>
    <xf numFmtId="0" fontId="6" fillId="4" borderId="12" xfId="0" applyFont="1" applyFill="1" applyBorder="1"/>
    <xf numFmtId="0" fontId="1" fillId="4" borderId="12" xfId="0" applyFont="1" applyFill="1" applyBorder="1"/>
    <xf numFmtId="0" fontId="6" fillId="9" borderId="0" xfId="0" applyFont="1" applyFill="1"/>
    <xf numFmtId="0" fontId="0" fillId="10" borderId="0" xfId="0" applyFill="1"/>
    <xf numFmtId="0" fontId="0" fillId="10" borderId="1" xfId="0" applyFill="1" applyBorder="1"/>
    <xf numFmtId="0" fontId="1" fillId="10" borderId="1" xfId="0" applyFont="1" applyFill="1" applyBorder="1" applyAlignment="1"/>
    <xf numFmtId="0" fontId="0" fillId="10" borderId="1" xfId="0" applyFill="1" applyBorder="1" applyAlignment="1"/>
    <xf numFmtId="0" fontId="1" fillId="10" borderId="1" xfId="0" applyFont="1" applyFill="1" applyBorder="1"/>
    <xf numFmtId="0" fontId="0" fillId="10" borderId="1" xfId="0" applyFill="1" applyBorder="1" applyAlignment="1">
      <alignment horizontal="left"/>
    </xf>
    <xf numFmtId="0" fontId="0" fillId="10" borderId="18" xfId="0" applyFill="1" applyBorder="1"/>
    <xf numFmtId="0" fontId="0" fillId="8" borderId="1" xfId="0" applyFill="1" applyBorder="1"/>
    <xf numFmtId="0" fontId="0" fillId="8" borderId="1" xfId="0" applyFill="1" applyBorder="1" applyAlignment="1">
      <alignment horizontal="center"/>
    </xf>
    <xf numFmtId="0" fontId="1" fillId="8"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6" fillId="0" borderId="1" xfId="0" applyFont="1" applyBorder="1" applyAlignment="1">
      <alignment horizontal="center"/>
    </xf>
    <xf numFmtId="0" fontId="6" fillId="0" borderId="18" xfId="0" applyFont="1" applyBorder="1" applyAlignment="1">
      <alignment horizontal="center"/>
    </xf>
    <xf numFmtId="0" fontId="0" fillId="10" borderId="1" xfId="0" applyFill="1" applyBorder="1" applyAlignment="1">
      <alignment horizontal="center"/>
    </xf>
    <xf numFmtId="0" fontId="6" fillId="2" borderId="12" xfId="0" applyFont="1" applyFill="1" applyBorder="1"/>
    <xf numFmtId="0" fontId="0" fillId="11" borderId="0" xfId="0" applyFill="1"/>
    <xf numFmtId="0" fontId="0" fillId="0" borderId="0" xfId="0"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9" fillId="2" borderId="8" xfId="0" applyFont="1" applyFill="1" applyBorder="1" applyAlignment="1">
      <alignment horizontal="center"/>
    </xf>
    <xf numFmtId="0" fontId="5" fillId="2" borderId="19" xfId="0" applyFont="1" applyFill="1" applyBorder="1" applyAlignment="1">
      <alignment horizontal="center"/>
    </xf>
    <xf numFmtId="0" fontId="9" fillId="0" borderId="0" xfId="0" applyFont="1"/>
    <xf numFmtId="0" fontId="0" fillId="2" borderId="1" xfId="0" applyFill="1" applyBorder="1" applyAlignment="1">
      <alignment horizontal="center"/>
    </xf>
    <xf numFmtId="0" fontId="0" fillId="2" borderId="20" xfId="0" applyFill="1" applyBorder="1"/>
    <xf numFmtId="0" fontId="0" fillId="0" borderId="8" xfId="0" applyBorder="1" applyAlignment="1"/>
    <xf numFmtId="0" fontId="0" fillId="0" borderId="24" xfId="0" applyBorder="1" applyAlignment="1"/>
    <xf numFmtId="0" fontId="0" fillId="0" borderId="25" xfId="0" applyBorder="1" applyAlignment="1"/>
    <xf numFmtId="0" fontId="0" fillId="0" borderId="1" xfId="0" applyBorder="1"/>
    <xf numFmtId="0" fontId="0" fillId="0" borderId="0" xfId="0" applyAlignment="1"/>
    <xf numFmtId="0" fontId="0" fillId="0" borderId="1" xfId="0" applyBorder="1" applyAlignment="1"/>
    <xf numFmtId="0" fontId="0" fillId="0" borderId="8" xfId="0" applyBorder="1"/>
    <xf numFmtId="0" fontId="6" fillId="3" borderId="26" xfId="0" applyFont="1" applyFill="1" applyBorder="1" applyAlignment="1">
      <alignment horizontal="left"/>
    </xf>
    <xf numFmtId="0" fontId="0" fillId="0" borderId="0" xfId="0" applyAlignment="1">
      <alignment horizontal="center" vertical="center"/>
    </xf>
    <xf numFmtId="0" fontId="5" fillId="2" borderId="1" xfId="0" applyFont="1" applyFill="1" applyBorder="1" applyAlignment="1">
      <alignment horizontal="center"/>
    </xf>
    <xf numFmtId="0" fontId="5" fillId="2" borderId="6" xfId="0" applyFont="1" applyFill="1" applyBorder="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7" fillId="2" borderId="2"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12" borderId="1" xfId="0" applyFont="1" applyFill="1" applyBorder="1" applyAlignment="1">
      <alignment horizontal="center"/>
    </xf>
    <xf numFmtId="0" fontId="0" fillId="12" borderId="1" xfId="0" applyFill="1" applyBorder="1" applyAlignment="1">
      <alignment horizontal="center"/>
    </xf>
    <xf numFmtId="0" fontId="20" fillId="12" borderId="1" xfId="0" applyFont="1" applyFill="1" applyBorder="1" applyAlignment="1">
      <alignment horizontal="center"/>
    </xf>
    <xf numFmtId="0" fontId="0" fillId="12" borderId="1" xfId="0" applyFill="1" applyBorder="1"/>
    <xf numFmtId="0" fontId="0" fillId="0" borderId="18" xfId="0" applyBorder="1"/>
    <xf numFmtId="0" fontId="6" fillId="3" borderId="9" xfId="0" applyFont="1" applyFill="1" applyBorder="1" applyAlignment="1">
      <alignment horizontal="right"/>
    </xf>
    <xf numFmtId="0" fontId="0" fillId="2" borderId="10" xfId="0" applyFill="1" applyBorder="1"/>
    <xf numFmtId="0" fontId="0" fillId="0" borderId="11" xfId="0" applyBorder="1"/>
    <xf numFmtId="0" fontId="6" fillId="3" borderId="12" xfId="0" applyFont="1" applyFill="1" applyBorder="1" applyAlignment="1">
      <alignment horizontal="left"/>
    </xf>
    <xf numFmtId="0" fontId="5" fillId="0" borderId="0" xfId="0" applyFont="1"/>
    <xf numFmtId="0" fontId="21" fillId="0" borderId="0" xfId="0" applyFont="1"/>
    <xf numFmtId="0" fontId="6" fillId="0" borderId="0" xfId="0" applyFont="1"/>
    <xf numFmtId="0" fontId="5" fillId="0" borderId="32" xfId="0" applyFont="1" applyBorder="1"/>
    <xf numFmtId="0" fontId="5" fillId="0" borderId="12" xfId="0" applyFont="1" applyBorder="1"/>
    <xf numFmtId="0" fontId="14" fillId="3" borderId="9" xfId="0" applyFont="1" applyFill="1" applyBorder="1" applyAlignment="1">
      <alignment horizontal="right"/>
    </xf>
    <xf numFmtId="0" fontId="6" fillId="3" borderId="12" xfId="0" applyFont="1" applyFill="1" applyBorder="1"/>
    <xf numFmtId="0" fontId="0" fillId="0" borderId="0" xfId="0" applyAlignment="1">
      <alignment horizontal="right"/>
    </xf>
    <xf numFmtId="0" fontId="0" fillId="13" borderId="0" xfId="0" applyFill="1"/>
    <xf numFmtId="0" fontId="6" fillId="3" borderId="12" xfId="0" applyFont="1" applyFill="1" applyBorder="1" applyAlignment="1">
      <alignment horizontal="center"/>
    </xf>
    <xf numFmtId="0" fontId="0" fillId="0" borderId="12" xfId="0" applyBorder="1"/>
    <xf numFmtId="0" fontId="0" fillId="0" borderId="17" xfId="0" applyBorder="1"/>
    <xf numFmtId="0" fontId="0" fillId="0" borderId="1" xfId="0" applyBorder="1" applyAlignment="1">
      <alignment horizontal="right"/>
    </xf>
    <xf numFmtId="0" fontId="5" fillId="2" borderId="8" xfId="0" applyFont="1" applyFill="1" applyBorder="1" applyAlignment="1">
      <alignment horizontal="center"/>
    </xf>
    <xf numFmtId="0" fontId="5" fillId="2" borderId="1" xfId="0" applyFont="1" applyFill="1" applyBorder="1" applyAlignment="1">
      <alignment horizontal="center"/>
    </xf>
    <xf numFmtId="0" fontId="0" fillId="3" borderId="0" xfId="0" applyFill="1"/>
    <xf numFmtId="0" fontId="0" fillId="3" borderId="1" xfId="0" applyFill="1" applyBorder="1"/>
    <xf numFmtId="0" fontId="0" fillId="14" borderId="0" xfId="0" applyFill="1"/>
    <xf numFmtId="0" fontId="0" fillId="15" borderId="0" xfId="0" applyFill="1"/>
    <xf numFmtId="0" fontId="6" fillId="3" borderId="11" xfId="0" applyFont="1" applyFill="1" applyBorder="1" applyAlignment="1">
      <alignment horizontal="center"/>
    </xf>
    <xf numFmtId="0" fontId="6" fillId="2" borderId="18" xfId="0" applyFont="1" applyFill="1" applyBorder="1" applyAlignment="1">
      <alignment horizontal="center"/>
    </xf>
    <xf numFmtId="0" fontId="9" fillId="2" borderId="18" xfId="0" applyFont="1" applyFill="1" applyBorder="1" applyAlignment="1">
      <alignment horizontal="center"/>
    </xf>
    <xf numFmtId="0" fontId="1" fillId="0" borderId="1" xfId="0" applyFont="1" applyBorder="1" applyAlignment="1">
      <alignment horizontal="right"/>
    </xf>
    <xf numFmtId="0" fontId="14" fillId="0" borderId="0" xfId="0" applyFont="1"/>
    <xf numFmtId="0" fontId="14" fillId="0" borderId="0" xfId="0" applyFont="1" applyAlignment="1">
      <alignment horizontal="center"/>
    </xf>
    <xf numFmtId="0" fontId="1" fillId="2" borderId="26" xfId="0" applyFont="1" applyFill="1" applyBorder="1" applyAlignment="1">
      <alignment horizontal="center"/>
    </xf>
    <xf numFmtId="0" fontId="6" fillId="0" borderId="12" xfId="0" applyFont="1" applyBorder="1" applyAlignment="1">
      <alignment horizontal="center"/>
    </xf>
    <xf numFmtId="0" fontId="0" fillId="2" borderId="33" xfId="0" applyFill="1" applyBorder="1" applyAlignment="1">
      <alignment horizontal="center"/>
    </xf>
    <xf numFmtId="0" fontId="16" fillId="2" borderId="33" xfId="0" applyFont="1" applyFill="1" applyBorder="1" applyAlignment="1">
      <alignment horizontal="center"/>
    </xf>
    <xf numFmtId="0" fontId="6" fillId="2" borderId="33" xfId="0" applyFont="1" applyFill="1" applyBorder="1" applyAlignment="1">
      <alignment horizontal="center"/>
    </xf>
    <xf numFmtId="0" fontId="5" fillId="6" borderId="1" xfId="0" applyFont="1" applyFill="1" applyBorder="1" applyAlignment="1">
      <alignment horizontal="center"/>
    </xf>
    <xf numFmtId="0" fontId="6" fillId="0" borderId="34" xfId="0" applyFont="1" applyBorder="1" applyAlignment="1">
      <alignment horizontal="center"/>
    </xf>
    <xf numFmtId="0" fontId="0" fillId="16" borderId="1" xfId="0" applyFill="1" applyBorder="1" applyAlignment="1">
      <alignment horizontal="right"/>
    </xf>
    <xf numFmtId="0" fontId="0" fillId="16" borderId="0" xfId="0" applyFill="1"/>
    <xf numFmtId="0" fontId="1" fillId="16" borderId="1" xfId="0" applyFont="1" applyFill="1" applyBorder="1" applyAlignment="1">
      <alignment horizontal="right"/>
    </xf>
    <xf numFmtId="0" fontId="0" fillId="16" borderId="1" xfId="0" applyFill="1" applyBorder="1"/>
    <xf numFmtId="0" fontId="6" fillId="3" borderId="11" xfId="0" applyFont="1" applyFill="1" applyBorder="1" applyAlignment="1">
      <alignment horizontal="center"/>
    </xf>
    <xf numFmtId="16" fontId="6" fillId="3" borderId="11" xfId="0" applyNumberFormat="1" applyFont="1" applyFill="1" applyBorder="1" applyAlignment="1">
      <alignment horizontal="center"/>
    </xf>
    <xf numFmtId="0" fontId="6" fillId="2" borderId="11" xfId="0" applyFont="1" applyFill="1" applyBorder="1" applyAlignment="1">
      <alignment horizontal="center"/>
    </xf>
    <xf numFmtId="0" fontId="6" fillId="2" borderId="26" xfId="0" applyFont="1" applyFill="1" applyBorder="1" applyAlignment="1">
      <alignment horizontal="center"/>
    </xf>
    <xf numFmtId="0" fontId="22" fillId="0" borderId="25" xfId="0" applyFont="1" applyBorder="1" applyAlignment="1"/>
    <xf numFmtId="0" fontId="22" fillId="0" borderId="24" xfId="0" applyFont="1" applyBorder="1" applyAlignment="1"/>
    <xf numFmtId="0" fontId="22" fillId="0" borderId="8" xfId="0" applyFont="1" applyBorder="1"/>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6" fillId="3" borderId="9" xfId="0" applyFont="1" applyFill="1" applyBorder="1" applyAlignment="1">
      <alignment horizontal="center"/>
    </xf>
    <xf numFmtId="0" fontId="0" fillId="12" borderId="1" xfId="0" applyFill="1" applyBorder="1" applyAlignment="1">
      <alignment horizontal="center"/>
    </xf>
    <xf numFmtId="0" fontId="6" fillId="12" borderId="1" xfId="0" applyFont="1" applyFill="1" applyBorder="1" applyAlignment="1">
      <alignment horizontal="center"/>
    </xf>
    <xf numFmtId="0" fontId="0" fillId="2" borderId="1" xfId="0" applyFill="1" applyBorder="1" applyAlignment="1">
      <alignment horizontal="center"/>
    </xf>
    <xf numFmtId="0" fontId="0" fillId="0" borderId="0" xfId="0" applyAlignment="1">
      <alignment horizontal="right"/>
    </xf>
    <xf numFmtId="0" fontId="0" fillId="2" borderId="1" xfId="0" applyFill="1" applyBorder="1" applyAlignment="1">
      <alignment horizontal="center"/>
    </xf>
    <xf numFmtId="0" fontId="5" fillId="2" borderId="1" xfId="0" applyFont="1" applyFill="1" applyBorder="1" applyAlignment="1">
      <alignment horizontal="center"/>
    </xf>
    <xf numFmtId="0" fontId="0" fillId="0" borderId="18" xfId="0" applyBorder="1" applyAlignment="1">
      <alignment horizontal="center"/>
    </xf>
    <xf numFmtId="0" fontId="0" fillId="2" borderId="10" xfId="0" applyFill="1" applyBorder="1" applyAlignment="1">
      <alignment horizontal="center"/>
    </xf>
    <xf numFmtId="0" fontId="0" fillId="16" borderId="1" xfId="0" applyFill="1" applyBorder="1" applyAlignment="1">
      <alignment horizontal="center"/>
    </xf>
    <xf numFmtId="0" fontId="0" fillId="14" borderId="0" xfId="0" applyFill="1" applyAlignment="1">
      <alignment horizontal="center"/>
    </xf>
    <xf numFmtId="0" fontId="8" fillId="0" borderId="1" xfId="0" applyFont="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7" xfId="0" applyFill="1" applyBorder="1" applyAlignment="1">
      <alignment horizontal="center"/>
    </xf>
    <xf numFmtId="0" fontId="6" fillId="3" borderId="11" xfId="0" applyFont="1" applyFill="1" applyBorder="1" applyAlignment="1">
      <alignment horizontal="center"/>
    </xf>
    <xf numFmtId="0" fontId="0" fillId="3" borderId="0" xfId="0" applyFill="1"/>
    <xf numFmtId="0" fontId="6" fillId="12" borderId="1" xfId="0" applyFont="1" applyFill="1" applyBorder="1" applyAlignment="1">
      <alignment horizontal="center"/>
    </xf>
    <xf numFmtId="0" fontId="6" fillId="16" borderId="12" xfId="0" applyFont="1" applyFill="1" applyBorder="1"/>
    <xf numFmtId="0" fontId="6" fillId="3" borderId="26" xfId="0" applyFont="1" applyFill="1" applyBorder="1" applyAlignment="1">
      <alignment horizontal="center"/>
    </xf>
    <xf numFmtId="0" fontId="0" fillId="2" borderId="25" xfId="0" applyFill="1" applyBorder="1" applyAlignment="1">
      <alignment horizontal="center"/>
    </xf>
    <xf numFmtId="0" fontId="6" fillId="2" borderId="35" xfId="0" applyFont="1" applyFill="1" applyBorder="1" applyAlignment="1">
      <alignment horizontal="center"/>
    </xf>
    <xf numFmtId="0" fontId="5" fillId="2" borderId="8" xfId="0" applyFont="1" applyFill="1" applyBorder="1" applyAlignment="1">
      <alignment horizontal="center"/>
    </xf>
    <xf numFmtId="0" fontId="6" fillId="2" borderId="1" xfId="0" applyFont="1" applyFill="1" applyBorder="1" applyAlignment="1">
      <alignment horizontal="center"/>
    </xf>
    <xf numFmtId="0" fontId="0" fillId="17" borderId="0" xfId="0" applyFill="1"/>
    <xf numFmtId="0" fontId="1" fillId="0" borderId="0" xfId="0" applyFont="1" applyAlignment="1">
      <alignment horizontal="right"/>
    </xf>
    <xf numFmtId="0" fontId="0" fillId="0" borderId="1" xfId="0" applyFill="1" applyBorder="1"/>
    <xf numFmtId="0" fontId="0" fillId="0" borderId="0" xfId="0" applyFill="1"/>
    <xf numFmtId="0" fontId="0" fillId="2" borderId="8" xfId="0" applyFill="1" applyBorder="1" applyAlignment="1">
      <alignment horizontal="center"/>
    </xf>
    <xf numFmtId="0" fontId="6" fillId="3" borderId="9" xfId="0" applyFont="1" applyFill="1" applyBorder="1" applyAlignment="1">
      <alignment horizontal="center"/>
    </xf>
    <xf numFmtId="0" fontId="0" fillId="8" borderId="1" xfId="0" applyFill="1" applyBorder="1" applyAlignment="1">
      <alignment horizontal="center"/>
    </xf>
    <xf numFmtId="0" fontId="5" fillId="6" borderId="1" xfId="0" applyFont="1" applyFill="1" applyBorder="1" applyAlignment="1">
      <alignment horizontal="center"/>
    </xf>
    <xf numFmtId="0" fontId="9" fillId="3" borderId="8" xfId="0" applyFont="1" applyFill="1" applyBorder="1" applyAlignment="1">
      <alignment horizontal="center" vertical="center"/>
    </xf>
    <xf numFmtId="0" fontId="22" fillId="3" borderId="1" xfId="0" applyFont="1" applyFill="1" applyBorder="1"/>
    <xf numFmtId="0" fontId="26" fillId="3" borderId="11" xfId="0" applyFont="1" applyFill="1" applyBorder="1"/>
    <xf numFmtId="0" fontId="20" fillId="3" borderId="12" xfId="0" applyFont="1" applyFill="1" applyBorder="1"/>
    <xf numFmtId="0" fontId="22" fillId="0" borderId="1" xfId="0" applyFont="1" applyBorder="1"/>
    <xf numFmtId="0" fontId="0" fillId="0" borderId="10" xfId="0" applyBorder="1"/>
    <xf numFmtId="0" fontId="0" fillId="0" borderId="11" xfId="0" applyBorder="1"/>
    <xf numFmtId="0" fontId="0" fillId="18" borderId="16" xfId="0" applyFill="1" applyBorder="1"/>
    <xf numFmtId="0" fontId="6" fillId="18" borderId="22" xfId="0" applyFont="1" applyFill="1" applyBorder="1"/>
    <xf numFmtId="0" fontId="6" fillId="18" borderId="28" xfId="0" applyFont="1" applyFill="1" applyBorder="1"/>
    <xf numFmtId="0" fontId="0" fillId="18" borderId="13" xfId="0" applyFill="1" applyBorder="1"/>
    <xf numFmtId="0" fontId="6" fillId="18" borderId="14" xfId="0" applyFont="1" applyFill="1" applyBorder="1"/>
    <xf numFmtId="0" fontId="6" fillId="18" borderId="15" xfId="0" applyFont="1" applyFill="1" applyBorder="1"/>
    <xf numFmtId="0" fontId="6" fillId="5" borderId="0" xfId="0" applyFont="1" applyFill="1"/>
    <xf numFmtId="0" fontId="5" fillId="0" borderId="1" xfId="0" applyFont="1" applyBorder="1" applyAlignment="1">
      <alignment horizontal="center"/>
    </xf>
    <xf numFmtId="0" fontId="13" fillId="0" borderId="1" xfId="0" applyFont="1" applyBorder="1" applyAlignment="1">
      <alignment horizontal="center"/>
    </xf>
    <xf numFmtId="0" fontId="13" fillId="0" borderId="25" xfId="0" applyFont="1" applyBorder="1" applyAlignment="1">
      <alignment horizontal="center"/>
    </xf>
    <xf numFmtId="0" fontId="13" fillId="15" borderId="1" xfId="0" applyFont="1" applyFill="1" applyBorder="1" applyAlignment="1">
      <alignment horizontal="center"/>
    </xf>
    <xf numFmtId="0" fontId="13" fillId="2" borderId="1"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13" fillId="15" borderId="42" xfId="0" applyFont="1" applyFill="1" applyBorder="1" applyAlignment="1">
      <alignment horizontal="center"/>
    </xf>
    <xf numFmtId="0" fontId="5" fillId="0" borderId="6" xfId="0" applyFont="1" applyBorder="1" applyAlignment="1">
      <alignment horizontal="center"/>
    </xf>
    <xf numFmtId="0" fontId="13" fillId="2" borderId="6" xfId="0" applyFont="1" applyFill="1" applyBorder="1" applyAlignment="1">
      <alignment horizontal="center"/>
    </xf>
    <xf numFmtId="0" fontId="13" fillId="0" borderId="6" xfId="0" applyFont="1" applyBorder="1" applyAlignment="1">
      <alignment horizontal="center"/>
    </xf>
    <xf numFmtId="0" fontId="13" fillId="15" borderId="6" xfId="0" applyFont="1" applyFill="1" applyBorder="1" applyAlignment="1">
      <alignment horizontal="center"/>
    </xf>
    <xf numFmtId="0" fontId="13" fillId="15" borderId="43" xfId="0" applyFont="1" applyFill="1" applyBorder="1" applyAlignment="1">
      <alignment horizontal="center"/>
    </xf>
    <xf numFmtId="0" fontId="13" fillId="0" borderId="18" xfId="0" applyFont="1" applyBorder="1" applyAlignment="1">
      <alignment horizontal="center"/>
    </xf>
    <xf numFmtId="0" fontId="13" fillId="2" borderId="18" xfId="0" applyFont="1" applyFill="1" applyBorder="1" applyAlignment="1">
      <alignment horizontal="center"/>
    </xf>
    <xf numFmtId="0" fontId="1" fillId="6" borderId="0" xfId="0" applyFont="1" applyFill="1"/>
    <xf numFmtId="0" fontId="5" fillId="2" borderId="17" xfId="0" applyFont="1" applyFill="1" applyBorder="1" applyAlignment="1">
      <alignment horizontal="center"/>
    </xf>
    <xf numFmtId="0" fontId="6" fillId="2" borderId="9" xfId="0" applyFont="1" applyFill="1" applyBorder="1" applyAlignment="1">
      <alignment horizontal="center"/>
    </xf>
    <xf numFmtId="0" fontId="5" fillId="6" borderId="8" xfId="0" applyFont="1" applyFill="1" applyBorder="1" applyAlignment="1">
      <alignment horizontal="center"/>
    </xf>
    <xf numFmtId="0" fontId="6" fillId="0" borderId="8" xfId="0" applyFont="1" applyBorder="1" applyAlignment="1">
      <alignment horizontal="center"/>
    </xf>
    <xf numFmtId="0" fontId="0" fillId="0" borderId="26" xfId="0" applyBorder="1"/>
    <xf numFmtId="0" fontId="0" fillId="0" borderId="34" xfId="0" applyBorder="1"/>
    <xf numFmtId="0" fontId="0" fillId="0" borderId="32" xfId="0" applyBorder="1"/>
    <xf numFmtId="0" fontId="0" fillId="0" borderId="44" xfId="0" applyBorder="1"/>
    <xf numFmtId="0" fontId="13" fillId="15" borderId="25" xfId="0" applyFont="1" applyFill="1" applyBorder="1" applyAlignment="1">
      <alignment horizontal="center"/>
    </xf>
    <xf numFmtId="0" fontId="13" fillId="15" borderId="45" xfId="0" applyFont="1" applyFill="1" applyBorder="1" applyAlignment="1">
      <alignment horizontal="center"/>
    </xf>
    <xf numFmtId="0" fontId="0" fillId="8" borderId="25" xfId="0" applyFill="1" applyBorder="1"/>
    <xf numFmtId="0" fontId="6" fillId="16" borderId="1" xfId="0" applyFont="1" applyFill="1" applyBorder="1" applyAlignment="1">
      <alignment horizontal="right"/>
    </xf>
    <xf numFmtId="0" fontId="6" fillId="16" borderId="25" xfId="0" applyFont="1" applyFill="1" applyBorder="1" applyAlignment="1">
      <alignment horizontal="right"/>
    </xf>
    <xf numFmtId="0" fontId="6" fillId="0" borderId="27" xfId="0" applyFont="1" applyBorder="1" applyAlignment="1">
      <alignment horizontal="center"/>
    </xf>
    <xf numFmtId="0" fontId="6" fillId="0" borderId="17" xfId="0" applyFont="1" applyBorder="1" applyAlignment="1">
      <alignment horizontal="center"/>
    </xf>
    <xf numFmtId="0" fontId="6" fillId="14" borderId="17" xfId="0" applyFont="1" applyFill="1" applyBorder="1" applyAlignment="1">
      <alignment horizontal="center"/>
    </xf>
    <xf numFmtId="0" fontId="6" fillId="14" borderId="1" xfId="0" applyFont="1" applyFill="1" applyBorder="1" applyAlignment="1">
      <alignment horizontal="center"/>
    </xf>
    <xf numFmtId="0" fontId="0" fillId="14" borderId="1" xfId="0" applyFill="1" applyBorder="1"/>
    <xf numFmtId="0" fontId="0" fillId="14" borderId="17" xfId="0" applyFill="1" applyBorder="1"/>
    <xf numFmtId="0" fontId="0" fillId="14" borderId="4" xfId="0" applyFill="1" applyBorder="1"/>
    <xf numFmtId="0" fontId="6" fillId="0" borderId="49" xfId="0" applyFont="1" applyBorder="1" applyAlignment="1">
      <alignment horizontal="center"/>
    </xf>
    <xf numFmtId="0" fontId="6" fillId="0" borderId="42" xfId="0" applyFont="1" applyBorder="1" applyAlignment="1">
      <alignment horizontal="center"/>
    </xf>
    <xf numFmtId="0" fontId="6" fillId="0" borderId="1" xfId="0" applyFont="1" applyBorder="1" applyAlignment="1">
      <alignment horizontal="left"/>
    </xf>
    <xf numFmtId="0" fontId="0" fillId="0" borderId="27" xfId="0" applyBorder="1"/>
    <xf numFmtId="0" fontId="0" fillId="0" borderId="13" xfId="0" applyBorder="1"/>
    <xf numFmtId="0" fontId="0" fillId="0" borderId="14" xfId="0" applyBorder="1"/>
    <xf numFmtId="0" fontId="0" fillId="0" borderId="15" xfId="0" applyBorder="1"/>
    <xf numFmtId="0" fontId="6" fillId="16" borderId="31" xfId="0" applyFont="1" applyFill="1" applyBorder="1" applyAlignment="1">
      <alignment horizontal="right"/>
    </xf>
    <xf numFmtId="0" fontId="0" fillId="0" borderId="9" xfId="0" applyBorder="1"/>
    <xf numFmtId="0" fontId="0" fillId="14" borderId="20" xfId="0" applyFill="1" applyBorder="1"/>
    <xf numFmtId="0" fontId="0" fillId="8" borderId="18" xfId="0" applyFill="1" applyBorder="1"/>
    <xf numFmtId="0" fontId="0" fillId="8" borderId="26" xfId="0" applyFill="1" applyBorder="1"/>
    <xf numFmtId="0" fontId="0" fillId="8" borderId="34" xfId="0" applyFill="1" applyBorder="1"/>
    <xf numFmtId="0" fontId="0" fillId="0" borderId="46" xfId="0" applyBorder="1"/>
    <xf numFmtId="0" fontId="6" fillId="16" borderId="1" xfId="0" applyFont="1" applyFill="1" applyBorder="1" applyAlignment="1">
      <alignment horizontal="center"/>
    </xf>
    <xf numFmtId="0" fontId="0" fillId="3" borderId="0" xfId="0" applyFill="1"/>
    <xf numFmtId="0" fontId="6" fillId="0" borderId="1" xfId="0" applyFont="1" applyBorder="1" applyAlignment="1">
      <alignment horizontal="center"/>
    </xf>
    <xf numFmtId="0" fontId="5" fillId="0" borderId="1" xfId="0" applyFont="1" applyBorder="1" applyAlignment="1">
      <alignment horizontal="center"/>
    </xf>
    <xf numFmtId="0" fontId="0" fillId="3" borderId="0" xfId="0" applyFill="1"/>
    <xf numFmtId="0" fontId="6" fillId="0" borderId="1" xfId="0" applyFont="1" applyBorder="1" applyAlignment="1">
      <alignment horizontal="center"/>
    </xf>
    <xf numFmtId="0" fontId="6" fillId="3" borderId="0" xfId="0" applyFont="1" applyFill="1"/>
    <xf numFmtId="0" fontId="1" fillId="3" borderId="0" xfId="0" applyFont="1" applyFill="1"/>
    <xf numFmtId="0" fontId="6" fillId="16" borderId="9" xfId="0" applyFont="1" applyFill="1" applyBorder="1" applyAlignment="1">
      <alignment horizontal="right"/>
    </xf>
    <xf numFmtId="0" fontId="6" fillId="16" borderId="0" xfId="0" applyFont="1" applyFill="1" applyAlignment="1">
      <alignment horizontal="right"/>
    </xf>
    <xf numFmtId="0" fontId="6" fillId="16" borderId="10" xfId="0" applyFont="1" applyFill="1" applyBorder="1" applyAlignment="1">
      <alignment horizontal="right"/>
    </xf>
    <xf numFmtId="0" fontId="6" fillId="11" borderId="1" xfId="0" applyFont="1" applyFill="1" applyBorder="1" applyAlignment="1"/>
    <xf numFmtId="0" fontId="6" fillId="3" borderId="1" xfId="0" applyFont="1" applyFill="1" applyBorder="1" applyAlignment="1">
      <alignment horizontal="center"/>
    </xf>
    <xf numFmtId="0" fontId="0" fillId="11" borderId="1" xfId="0" applyFill="1" applyBorder="1"/>
    <xf numFmtId="0" fontId="6" fillId="12" borderId="1" xfId="0" applyFont="1" applyFill="1" applyBorder="1" applyAlignment="1">
      <alignment horizontal="center"/>
    </xf>
    <xf numFmtId="0" fontId="0" fillId="12" borderId="1" xfId="0" applyFill="1" applyBorder="1" applyAlignment="1">
      <alignment horizontal="center"/>
    </xf>
    <xf numFmtId="0" fontId="5" fillId="2" borderId="8" xfId="0" applyFont="1" applyFill="1" applyBorder="1" applyAlignment="1">
      <alignment horizontal="center"/>
    </xf>
    <xf numFmtId="0" fontId="0" fillId="3" borderId="0" xfId="0" applyFill="1"/>
    <xf numFmtId="0" fontId="6" fillId="4" borderId="1" xfId="0" applyFont="1" applyFill="1" applyBorder="1" applyAlignment="1">
      <alignment horizontal="center"/>
    </xf>
    <xf numFmtId="0" fontId="6" fillId="3" borderId="1" xfId="0" applyFont="1" applyFill="1" applyBorder="1" applyAlignment="1">
      <alignment horizontal="center"/>
    </xf>
    <xf numFmtId="0" fontId="6" fillId="0" borderId="18"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0" fillId="21" borderId="0" xfId="0" applyFill="1"/>
    <xf numFmtId="0" fontId="6" fillId="16" borderId="1" xfId="0" applyFont="1" applyFill="1" applyBorder="1"/>
    <xf numFmtId="0" fontId="6" fillId="11" borderId="1" xfId="0" applyFont="1" applyFill="1" applyBorder="1" applyAlignment="1">
      <alignment horizontal="center"/>
    </xf>
    <xf numFmtId="0" fontId="6" fillId="0" borderId="8" xfId="0" applyFont="1" applyBorder="1" applyAlignment="1">
      <alignment horizontal="center"/>
    </xf>
    <xf numFmtId="0" fontId="13" fillId="0" borderId="0" xfId="0" applyFont="1"/>
    <xf numFmtId="0" fontId="13" fillId="3" borderId="0" xfId="0" applyFont="1" applyFill="1"/>
    <xf numFmtId="0" fontId="6" fillId="4" borderId="1" xfId="0" applyFont="1" applyFill="1" applyBorder="1"/>
    <xf numFmtId="0" fontId="0" fillId="17" borderId="1" xfId="0" applyFill="1" applyBorder="1"/>
    <xf numFmtId="0" fontId="6" fillId="4" borderId="1" xfId="0" applyFont="1" applyFill="1" applyBorder="1" applyAlignment="1">
      <alignment horizontal="right"/>
    </xf>
    <xf numFmtId="0" fontId="6" fillId="18" borderId="1" xfId="0" applyFont="1" applyFill="1" applyBorder="1" applyAlignment="1">
      <alignment horizontal="right"/>
    </xf>
    <xf numFmtId="0" fontId="6" fillId="18" borderId="1" xfId="0" applyFont="1" applyFill="1" applyBorder="1"/>
    <xf numFmtId="0" fontId="6" fillId="0" borderId="1" xfId="0" applyFont="1" applyBorder="1" applyAlignment="1">
      <alignment horizontal="center" vertical="center"/>
    </xf>
    <xf numFmtId="0" fontId="13" fillId="0" borderId="1" xfId="0" applyFont="1" applyBorder="1" applyAlignment="1">
      <alignment horizontal="center" vertical="center"/>
    </xf>
    <xf numFmtId="0" fontId="6" fillId="3" borderId="0" xfId="0" applyFont="1" applyFill="1" applyAlignment="1">
      <alignment horizontal="center" vertical="center"/>
    </xf>
    <xf numFmtId="0" fontId="6" fillId="17" borderId="1" xfId="0" applyFont="1" applyFill="1" applyBorder="1" applyAlignment="1">
      <alignment vertical="center"/>
    </xf>
    <xf numFmtId="0" fontId="0" fillId="3" borderId="0" xfId="0" applyFill="1"/>
    <xf numFmtId="0" fontId="0" fillId="22" borderId="0" xfId="0" applyFill="1"/>
    <xf numFmtId="0" fontId="5" fillId="24" borderId="3" xfId="0" applyFont="1" applyFill="1" applyBorder="1"/>
    <xf numFmtId="0" fontId="6" fillId="24" borderId="1" xfId="0" applyFont="1" applyFill="1" applyBorder="1" applyAlignment="1">
      <alignment horizontal="center"/>
    </xf>
    <xf numFmtId="0" fontId="6" fillId="25" borderId="1" xfId="0" applyFont="1" applyFill="1" applyBorder="1" applyAlignment="1">
      <alignment horizontal="center"/>
    </xf>
    <xf numFmtId="0" fontId="6" fillId="25" borderId="1" xfId="0" applyFont="1" applyFill="1" applyBorder="1" applyAlignment="1">
      <alignment vertical="center"/>
    </xf>
    <xf numFmtId="16" fontId="6" fillId="25" borderId="1" xfId="0" applyNumberFormat="1" applyFont="1" applyFill="1" applyBorder="1" applyAlignment="1">
      <alignment horizontal="center" vertical="center"/>
    </xf>
    <xf numFmtId="0" fontId="6" fillId="25" borderId="1" xfId="0" applyFont="1" applyFill="1" applyBorder="1" applyAlignment="1">
      <alignment horizontal="center" vertical="center"/>
    </xf>
    <xf numFmtId="0" fontId="6" fillId="14" borderId="1" xfId="0" applyFont="1" applyFill="1" applyBorder="1" applyAlignment="1">
      <alignment vertical="center"/>
    </xf>
    <xf numFmtId="0" fontId="0" fillId="11" borderId="32" xfId="0" applyFill="1" applyBorder="1"/>
    <xf numFmtId="0" fontId="6" fillId="0" borderId="0" xfId="0" applyFont="1" applyBorder="1" applyAlignment="1">
      <alignment horizontal="center"/>
    </xf>
    <xf numFmtId="0" fontId="6" fillId="18" borderId="3" xfId="0" applyFont="1" applyFill="1" applyBorder="1" applyAlignment="1">
      <alignment horizontal="center"/>
    </xf>
    <xf numFmtId="0" fontId="6" fillId="18" borderId="41" xfId="0" applyFont="1" applyFill="1" applyBorder="1" applyAlignment="1">
      <alignment horizontal="center"/>
    </xf>
    <xf numFmtId="0" fontId="6" fillId="4" borderId="6" xfId="0" applyFont="1" applyFill="1" applyBorder="1" applyAlignment="1">
      <alignment horizontal="center"/>
    </xf>
    <xf numFmtId="0" fontId="6" fillId="0" borderId="43" xfId="0" applyFont="1" applyBorder="1" applyAlignment="1">
      <alignment horizontal="center"/>
    </xf>
    <xf numFmtId="0" fontId="6" fillId="3" borderId="1" xfId="0" applyFont="1" applyFill="1" applyBorder="1"/>
    <xf numFmtId="0" fontId="13" fillId="15" borderId="31" xfId="0" applyFont="1" applyFill="1" applyBorder="1" applyAlignment="1">
      <alignment horizontal="center"/>
    </xf>
    <xf numFmtId="0" fontId="5" fillId="0" borderId="18" xfId="0" applyFont="1" applyBorder="1" applyAlignment="1">
      <alignment horizontal="center"/>
    </xf>
    <xf numFmtId="0" fontId="13" fillId="15" borderId="18" xfId="0" applyFont="1" applyFill="1" applyBorder="1" applyAlignment="1">
      <alignment horizontal="center"/>
    </xf>
    <xf numFmtId="0" fontId="13" fillId="15" borderId="54" xfId="0" applyFont="1" applyFill="1" applyBorder="1" applyAlignment="1">
      <alignment horizontal="center"/>
    </xf>
    <xf numFmtId="0" fontId="13" fillId="15" borderId="48" xfId="0" applyFont="1" applyFill="1" applyBorder="1" applyAlignment="1">
      <alignment horizontal="center"/>
    </xf>
    <xf numFmtId="0" fontId="5" fillId="0" borderId="17" xfId="0" applyFont="1" applyBorder="1" applyAlignment="1">
      <alignment horizontal="center"/>
    </xf>
    <xf numFmtId="0" fontId="13" fillId="2" borderId="17" xfId="0" applyFont="1" applyFill="1" applyBorder="1" applyAlignment="1">
      <alignment horizontal="center"/>
    </xf>
    <xf numFmtId="0" fontId="13" fillId="0" borderId="17" xfId="0" applyFont="1" applyBorder="1" applyAlignment="1">
      <alignment horizontal="center"/>
    </xf>
    <xf numFmtId="0" fontId="13" fillId="15" borderId="17" xfId="0" applyFont="1" applyFill="1" applyBorder="1" applyAlignment="1">
      <alignment horizontal="center"/>
    </xf>
    <xf numFmtId="0" fontId="13" fillId="15" borderId="49" xfId="0" applyFont="1" applyFill="1" applyBorder="1" applyAlignment="1">
      <alignment horizontal="center"/>
    </xf>
    <xf numFmtId="0" fontId="13" fillId="15" borderId="55" xfId="0" applyFont="1" applyFill="1" applyBorder="1" applyAlignment="1">
      <alignment horizontal="center"/>
    </xf>
    <xf numFmtId="0" fontId="5" fillId="0" borderId="56" xfId="0" applyFont="1" applyBorder="1" applyAlignment="1">
      <alignment horizontal="center"/>
    </xf>
    <xf numFmtId="0" fontId="13" fillId="2" borderId="56" xfId="0" applyFont="1" applyFill="1" applyBorder="1" applyAlignment="1">
      <alignment horizontal="center"/>
    </xf>
    <xf numFmtId="0" fontId="13" fillId="0" borderId="56" xfId="0" applyFont="1" applyBorder="1" applyAlignment="1">
      <alignment horizontal="center"/>
    </xf>
    <xf numFmtId="0" fontId="13" fillId="0" borderId="56" xfId="0" applyFont="1" applyFill="1" applyBorder="1" applyAlignment="1">
      <alignment horizontal="center"/>
    </xf>
    <xf numFmtId="0" fontId="13" fillId="15" borderId="56" xfId="0" applyFont="1" applyFill="1" applyBorder="1" applyAlignment="1">
      <alignment horizontal="center"/>
    </xf>
    <xf numFmtId="0" fontId="13" fillId="15" borderId="57" xfId="0" applyFont="1" applyFill="1" applyBorder="1" applyAlignment="1">
      <alignment horizontal="center"/>
    </xf>
    <xf numFmtId="0" fontId="6" fillId="16" borderId="0" xfId="0" applyFont="1" applyFill="1" applyAlignment="1">
      <alignment horizontal="center"/>
    </xf>
    <xf numFmtId="0" fontId="6" fillId="16" borderId="18" xfId="0" applyFont="1" applyFill="1" applyBorder="1" applyAlignment="1">
      <alignment horizontal="center"/>
    </xf>
    <xf numFmtId="0" fontId="6" fillId="0" borderId="18" xfId="0" applyFont="1" applyBorder="1" applyAlignment="1">
      <alignment horizontal="left"/>
    </xf>
    <xf numFmtId="0" fontId="6" fillId="14" borderId="18" xfId="0" applyFont="1" applyFill="1" applyBorder="1" applyAlignment="1">
      <alignment horizontal="center"/>
    </xf>
    <xf numFmtId="0" fontId="6" fillId="0" borderId="54" xfId="0" applyFont="1" applyBorder="1" applyAlignment="1">
      <alignment horizontal="center"/>
    </xf>
    <xf numFmtId="0" fontId="6" fillId="0" borderId="17" xfId="0" applyFont="1" applyBorder="1" applyAlignment="1">
      <alignment horizontal="left"/>
    </xf>
    <xf numFmtId="0" fontId="6" fillId="14" borderId="56" xfId="0" applyFont="1" applyFill="1" applyBorder="1" applyAlignment="1">
      <alignment horizontal="center"/>
    </xf>
    <xf numFmtId="0" fontId="6" fillId="0" borderId="56" xfId="0" applyFont="1" applyBorder="1" applyAlignment="1">
      <alignment horizontal="center"/>
    </xf>
    <xf numFmtId="0" fontId="6" fillId="0" borderId="57" xfId="0" applyFont="1" applyBorder="1" applyAlignment="1">
      <alignment horizontal="center"/>
    </xf>
    <xf numFmtId="0" fontId="6" fillId="0" borderId="39" xfId="0" applyFont="1" applyBorder="1" applyAlignment="1">
      <alignment horizontal="center"/>
    </xf>
    <xf numFmtId="0" fontId="6" fillId="0" borderId="20" xfId="0" applyFont="1" applyBorder="1" applyAlignment="1">
      <alignment horizontal="left"/>
    </xf>
    <xf numFmtId="0" fontId="6" fillId="14" borderId="20" xfId="0" applyFont="1" applyFill="1" applyBorder="1" applyAlignment="1">
      <alignment horizontal="center"/>
    </xf>
    <xf numFmtId="0" fontId="6" fillId="0" borderId="20" xfId="0" applyFont="1" applyBorder="1" applyAlignment="1">
      <alignment horizontal="center"/>
    </xf>
    <xf numFmtId="0" fontId="6" fillId="0" borderId="59" xfId="0" applyFont="1" applyBorder="1" applyAlignment="1">
      <alignment horizontal="center"/>
    </xf>
    <xf numFmtId="0" fontId="6" fillId="0" borderId="61" xfId="0" applyFont="1" applyBorder="1" applyAlignment="1">
      <alignment horizontal="center"/>
    </xf>
    <xf numFmtId="0" fontId="6" fillId="14" borderId="61" xfId="0" applyFont="1" applyFill="1" applyBorder="1" applyAlignment="1">
      <alignment horizontal="center"/>
    </xf>
    <xf numFmtId="0" fontId="6" fillId="0" borderId="62" xfId="0" applyFont="1" applyBorder="1" applyAlignment="1">
      <alignment horizontal="center"/>
    </xf>
    <xf numFmtId="0" fontId="6" fillId="16" borderId="17" xfId="0" applyFont="1" applyFill="1" applyBorder="1" applyAlignment="1">
      <alignment horizontal="left"/>
    </xf>
    <xf numFmtId="0" fontId="6" fillId="16" borderId="1" xfId="0" applyFont="1" applyFill="1" applyBorder="1" applyAlignment="1">
      <alignment horizontal="left"/>
    </xf>
    <xf numFmtId="0" fontId="6" fillId="16" borderId="17" xfId="0" applyFont="1" applyFill="1" applyBorder="1" applyAlignment="1">
      <alignment horizontal="center"/>
    </xf>
    <xf numFmtId="0" fontId="6" fillId="16" borderId="37" xfId="0" applyFont="1" applyFill="1" applyBorder="1" applyAlignment="1">
      <alignment horizontal="center"/>
    </xf>
    <xf numFmtId="0" fontId="6" fillId="24" borderId="64" xfId="0" applyFont="1" applyFill="1" applyBorder="1" applyAlignment="1">
      <alignment horizontal="center"/>
    </xf>
    <xf numFmtId="0" fontId="6" fillId="24" borderId="65" xfId="0" applyFont="1" applyFill="1" applyBorder="1" applyAlignment="1">
      <alignment horizontal="center"/>
    </xf>
    <xf numFmtId="0" fontId="6" fillId="16" borderId="8" xfId="0" applyFont="1" applyFill="1" applyBorder="1" applyAlignment="1">
      <alignment horizontal="center"/>
    </xf>
    <xf numFmtId="0" fontId="6" fillId="0" borderId="31" xfId="0" applyFont="1" applyBorder="1" applyAlignment="1">
      <alignment horizontal="center"/>
    </xf>
    <xf numFmtId="0" fontId="6" fillId="16" borderId="12" xfId="0" applyFont="1" applyFill="1" applyBorder="1" applyAlignment="1">
      <alignment horizontal="center"/>
    </xf>
    <xf numFmtId="0" fontId="27" fillId="3" borderId="4" xfId="0" applyFont="1" applyFill="1" applyBorder="1" applyAlignment="1">
      <alignment horizontal="center"/>
    </xf>
    <xf numFmtId="0" fontId="28" fillId="3" borderId="4" xfId="0" applyFont="1" applyFill="1" applyBorder="1" applyAlignment="1">
      <alignment horizontal="center"/>
    </xf>
    <xf numFmtId="0" fontId="26" fillId="2" borderId="4" xfId="0" applyFont="1" applyFill="1" applyBorder="1" applyAlignment="1">
      <alignment horizontal="center"/>
    </xf>
    <xf numFmtId="0" fontId="10" fillId="2" borderId="4" xfId="0" applyFont="1" applyFill="1" applyBorder="1" applyAlignment="1">
      <alignment horizontal="center"/>
    </xf>
    <xf numFmtId="0" fontId="26" fillId="2" borderId="33" xfId="0" applyFont="1" applyFill="1" applyBorder="1" applyAlignment="1">
      <alignment horizontal="center"/>
    </xf>
    <xf numFmtId="0" fontId="0" fillId="3" borderId="8" xfId="0" applyFill="1" applyBorder="1" applyAlignment="1">
      <alignment horizontal="center"/>
    </xf>
    <xf numFmtId="0" fontId="27" fillId="3" borderId="2" xfId="0" applyFont="1" applyFill="1" applyBorder="1" applyAlignment="1">
      <alignment horizontal="center"/>
    </xf>
    <xf numFmtId="0" fontId="10" fillId="2" borderId="2" xfId="0" applyFont="1" applyFill="1" applyBorder="1" applyAlignment="1">
      <alignment horizontal="center"/>
    </xf>
    <xf numFmtId="0" fontId="21" fillId="2" borderId="4" xfId="0" applyFont="1" applyFill="1" applyBorder="1" applyAlignment="1">
      <alignment horizontal="center"/>
    </xf>
    <xf numFmtId="0" fontId="9" fillId="0" borderId="1" xfId="0" applyFont="1" applyBorder="1"/>
    <xf numFmtId="0" fontId="20" fillId="2" borderId="4" xfId="0" applyFont="1" applyFill="1" applyBorder="1" applyAlignment="1">
      <alignment horizontal="center"/>
    </xf>
    <xf numFmtId="0" fontId="27" fillId="2" borderId="33" xfId="0" applyFont="1" applyFill="1" applyBorder="1" applyAlignment="1">
      <alignment horizontal="center"/>
    </xf>
    <xf numFmtId="0" fontId="27" fillId="2" borderId="25" xfId="0" applyFont="1" applyFill="1" applyBorder="1" applyAlignment="1">
      <alignment horizontal="center"/>
    </xf>
    <xf numFmtId="0" fontId="22" fillId="2" borderId="33" xfId="0" applyFont="1" applyFill="1" applyBorder="1" applyAlignment="1">
      <alignment horizontal="center"/>
    </xf>
    <xf numFmtId="0" fontId="26" fillId="2" borderId="1" xfId="0" applyFont="1" applyFill="1" applyBorder="1" applyAlignment="1">
      <alignment horizontal="center"/>
    </xf>
    <xf numFmtId="0" fontId="0" fillId="17" borderId="25" xfId="0" applyFill="1" applyBorder="1"/>
    <xf numFmtId="0" fontId="5" fillId="25" borderId="18" xfId="0" applyFont="1" applyFill="1" applyBorder="1"/>
    <xf numFmtId="0" fontId="13" fillId="25" borderId="18" xfId="0" applyFont="1" applyFill="1" applyBorder="1" applyAlignment="1">
      <alignment horizontal="center"/>
    </xf>
    <xf numFmtId="0" fontId="26" fillId="12" borderId="33" xfId="0" applyFont="1" applyFill="1" applyBorder="1" applyAlignment="1">
      <alignment horizontal="center"/>
    </xf>
    <xf numFmtId="0" fontId="31" fillId="12" borderId="33" xfId="0" applyFont="1" applyFill="1" applyBorder="1" applyAlignment="1">
      <alignment horizontal="center"/>
    </xf>
    <xf numFmtId="0" fontId="27" fillId="12" borderId="33" xfId="0" applyFont="1" applyFill="1" applyBorder="1" applyAlignment="1">
      <alignment horizontal="center"/>
    </xf>
    <xf numFmtId="0" fontId="27" fillId="2" borderId="12" xfId="0" applyFont="1" applyFill="1" applyBorder="1" applyAlignment="1">
      <alignment horizontal="center"/>
    </xf>
    <xf numFmtId="0" fontId="27" fillId="2" borderId="1" xfId="0" applyFont="1" applyFill="1" applyBorder="1" applyAlignment="1">
      <alignment horizontal="center"/>
    </xf>
    <xf numFmtId="0" fontId="22" fillId="12" borderId="33" xfId="0" applyFont="1" applyFill="1" applyBorder="1" applyAlignment="1">
      <alignment horizontal="center"/>
    </xf>
    <xf numFmtId="0" fontId="6" fillId="16" borderId="1" xfId="0" applyFont="1" applyFill="1" applyBorder="1" applyAlignment="1">
      <alignment horizontal="center"/>
    </xf>
    <xf numFmtId="0" fontId="0" fillId="8" borderId="1" xfId="0" applyFill="1" applyBorder="1" applyAlignment="1">
      <alignment horizontal="center"/>
    </xf>
    <xf numFmtId="0" fontId="6" fillId="4" borderId="1" xfId="0" applyFont="1" applyFill="1" applyBorder="1" applyAlignment="1">
      <alignment horizontal="center"/>
    </xf>
    <xf numFmtId="0" fontId="6" fillId="0" borderId="14" xfId="0" applyFont="1" applyBorder="1" applyAlignment="1">
      <alignment horizontal="center"/>
    </xf>
    <xf numFmtId="0" fontId="6" fillId="16" borderId="1" xfId="0" applyFont="1" applyFill="1" applyBorder="1" applyAlignment="1">
      <alignment horizontal="center"/>
    </xf>
    <xf numFmtId="0" fontId="6" fillId="0" borderId="0" xfId="0" applyFont="1" applyBorder="1" applyAlignment="1">
      <alignment horizontal="center"/>
    </xf>
    <xf numFmtId="0" fontId="6" fillId="0" borderId="1" xfId="0" applyFont="1" applyBorder="1" applyAlignment="1">
      <alignment horizontal="center"/>
    </xf>
    <xf numFmtId="0" fontId="6" fillId="18" borderId="3" xfId="0" applyFont="1" applyFill="1" applyBorder="1" applyAlignment="1">
      <alignment horizontal="center"/>
    </xf>
    <xf numFmtId="0" fontId="21" fillId="0" borderId="1" xfId="0" applyFont="1" applyBorder="1" applyAlignment="1">
      <alignment horizontal="center"/>
    </xf>
    <xf numFmtId="0" fontId="35" fillId="2" borderId="1" xfId="0" applyFont="1" applyFill="1" applyBorder="1" applyAlignment="1">
      <alignment horizontal="center"/>
    </xf>
    <xf numFmtId="0" fontId="35" fillId="0" borderId="1" xfId="0" applyFont="1" applyBorder="1" applyAlignment="1">
      <alignment horizontal="center"/>
    </xf>
    <xf numFmtId="0" fontId="35" fillId="15" borderId="1" xfId="0" applyFont="1" applyFill="1" applyBorder="1" applyAlignment="1">
      <alignment horizontal="center"/>
    </xf>
    <xf numFmtId="0" fontId="26" fillId="0" borderId="1" xfId="0" applyFont="1" applyBorder="1" applyAlignment="1">
      <alignment horizontal="center"/>
    </xf>
    <xf numFmtId="0" fontId="22" fillId="8" borderId="1" xfId="0" applyFont="1" applyFill="1" applyBorder="1"/>
    <xf numFmtId="0" fontId="26" fillId="0" borderId="12" xfId="0" applyFont="1" applyBorder="1" applyAlignment="1">
      <alignment horizontal="center"/>
    </xf>
    <xf numFmtId="0" fontId="26" fillId="0" borderId="56" xfId="0" applyFont="1" applyBorder="1" applyAlignment="1">
      <alignment horizontal="left"/>
    </xf>
    <xf numFmtId="0" fontId="26" fillId="0" borderId="56" xfId="0" applyFont="1" applyBorder="1" applyAlignment="1">
      <alignment horizontal="center"/>
    </xf>
    <xf numFmtId="0" fontId="26" fillId="0" borderId="57" xfId="0" applyFont="1" applyBorder="1" applyAlignment="1">
      <alignment horizontal="center"/>
    </xf>
    <xf numFmtId="0" fontId="26" fillId="14" borderId="56" xfId="0" applyFont="1" applyFill="1" applyBorder="1" applyAlignment="1">
      <alignment horizontal="center"/>
    </xf>
    <xf numFmtId="16" fontId="26" fillId="0" borderId="56" xfId="0" applyNumberFormat="1" applyFont="1" applyBorder="1" applyAlignment="1">
      <alignment horizontal="center"/>
    </xf>
    <xf numFmtId="0" fontId="20" fillId="0" borderId="56" xfId="0" applyFont="1" applyBorder="1" applyAlignment="1">
      <alignment horizontal="left"/>
    </xf>
    <xf numFmtId="0" fontId="20" fillId="14" borderId="56" xfId="0" applyFont="1" applyFill="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0" fontId="0" fillId="0" borderId="1" xfId="0" applyBorder="1" applyAlignment="1">
      <alignment horizontal="left"/>
    </xf>
    <xf numFmtId="0" fontId="0" fillId="2" borderId="0" xfId="0" applyFill="1"/>
    <xf numFmtId="0" fontId="5" fillId="0" borderId="0" xfId="0" applyFont="1" applyAlignment="1">
      <alignment horizontal="center" vertical="center"/>
    </xf>
    <xf numFmtId="0" fontId="5" fillId="0" borderId="1" xfId="0" applyFont="1" applyBorder="1" applyAlignment="1">
      <alignment horizontal="center" vertical="center"/>
    </xf>
    <xf numFmtId="0" fontId="13" fillId="16" borderId="1" xfId="0" applyFont="1" applyFill="1" applyBorder="1" applyAlignment="1">
      <alignment horizontal="center"/>
    </xf>
    <xf numFmtId="0" fontId="0" fillId="10" borderId="1" xfId="0" applyFill="1" applyBorder="1" applyAlignment="1">
      <alignment horizontal="left"/>
    </xf>
    <xf numFmtId="0" fontId="6" fillId="0" borderId="1" xfId="0" applyFont="1" applyBorder="1" applyAlignment="1">
      <alignment horizontal="center"/>
    </xf>
    <xf numFmtId="0" fontId="6" fillId="0" borderId="18" xfId="0" applyFont="1" applyBorder="1" applyAlignment="1">
      <alignment horizontal="center"/>
    </xf>
    <xf numFmtId="0" fontId="0" fillId="0" borderId="67" xfId="0" applyBorder="1"/>
    <xf numFmtId="0" fontId="0" fillId="0" borderId="0" xfId="0" applyBorder="1"/>
    <xf numFmtId="0" fontId="0" fillId="18" borderId="4" xfId="0" applyFill="1" applyBorder="1" applyAlignment="1">
      <alignment horizontal="center"/>
    </xf>
    <xf numFmtId="0" fontId="6" fillId="18" borderId="1" xfId="0" applyFont="1" applyFill="1" applyBorder="1" applyAlignment="1">
      <alignment horizontal="center"/>
    </xf>
    <xf numFmtId="0" fontId="0" fillId="24" borderId="0" xfId="0" applyFill="1"/>
    <xf numFmtId="0" fontId="0" fillId="24" borderId="16" xfId="0" applyFill="1" applyBorder="1"/>
    <xf numFmtId="0" fontId="0" fillId="24" borderId="22" xfId="0" applyFill="1" applyBorder="1"/>
    <xf numFmtId="0" fontId="0" fillId="24" borderId="46" xfId="0" applyFill="1" applyBorder="1"/>
    <xf numFmtId="0" fontId="0" fillId="24" borderId="0" xfId="0" applyFill="1" applyBorder="1"/>
    <xf numFmtId="0" fontId="0" fillId="24" borderId="27" xfId="0" applyFill="1" applyBorder="1"/>
    <xf numFmtId="0" fontId="0" fillId="24" borderId="28" xfId="0" applyFill="1" applyBorder="1"/>
    <xf numFmtId="0" fontId="0" fillId="24" borderId="13" xfId="0" applyFill="1" applyBorder="1"/>
    <xf numFmtId="0" fontId="0" fillId="24" borderId="14" xfId="0" applyFill="1" applyBorder="1"/>
    <xf numFmtId="0" fontId="0" fillId="24" borderId="67" xfId="0" applyFill="1" applyBorder="1"/>
    <xf numFmtId="0" fontId="0" fillId="24" borderId="68" xfId="0" applyFill="1" applyBorder="1"/>
    <xf numFmtId="0" fontId="0" fillId="24" borderId="15" xfId="0" applyFill="1" applyBorder="1"/>
    <xf numFmtId="0" fontId="6" fillId="11" borderId="1" xfId="0" applyFont="1" applyFill="1" applyBorder="1" applyAlignment="1">
      <alignment vertical="center"/>
    </xf>
    <xf numFmtId="0" fontId="6" fillId="0" borderId="41" xfId="0" applyFont="1" applyBorder="1" applyAlignment="1">
      <alignment horizontal="center"/>
    </xf>
    <xf numFmtId="0" fontId="13" fillId="0" borderId="4" xfId="0" applyFont="1" applyBorder="1" applyAlignment="1">
      <alignment horizontal="center"/>
    </xf>
    <xf numFmtId="0" fontId="6" fillId="10" borderId="42" xfId="0" applyFont="1" applyFill="1" applyBorder="1" applyAlignment="1">
      <alignment horizontal="center"/>
    </xf>
    <xf numFmtId="0" fontId="13" fillId="0" borderId="5" xfId="0" applyFont="1" applyBorder="1" applyAlignment="1">
      <alignment horizontal="center"/>
    </xf>
    <xf numFmtId="0" fontId="13" fillId="16" borderId="6" xfId="0" applyFont="1" applyFill="1" applyBorder="1" applyAlignment="1">
      <alignment horizontal="center"/>
    </xf>
    <xf numFmtId="0" fontId="6" fillId="10" borderId="43" xfId="0" applyFont="1" applyFill="1" applyBorder="1" applyAlignment="1">
      <alignment horizontal="center"/>
    </xf>
    <xf numFmtId="0" fontId="6" fillId="0" borderId="2" xfId="0" applyFont="1" applyBorder="1"/>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13" fillId="0" borderId="45" xfId="0" applyFont="1" applyBorder="1" applyAlignment="1">
      <alignment horizontal="center"/>
    </xf>
    <xf numFmtId="0" fontId="26" fillId="3" borderId="12" xfId="0" applyFont="1" applyFill="1" applyBorder="1"/>
    <xf numFmtId="0" fontId="22" fillId="3" borderId="1" xfId="0" applyFont="1" applyFill="1" applyBorder="1" applyAlignment="1">
      <alignment horizontal="center"/>
    </xf>
    <xf numFmtId="0" fontId="6" fillId="0" borderId="0" xfId="0" applyFont="1" applyFill="1" applyBorder="1" applyAlignment="1">
      <alignment horizontal="center"/>
    </xf>
    <xf numFmtId="0" fontId="38" fillId="27" borderId="16" xfId="0" applyFont="1" applyFill="1" applyBorder="1"/>
    <xf numFmtId="0" fontId="38" fillId="27" borderId="22" xfId="0" applyFont="1" applyFill="1" applyBorder="1"/>
    <xf numFmtId="0" fontId="38" fillId="27" borderId="28" xfId="0" applyFont="1" applyFill="1" applyBorder="1"/>
    <xf numFmtId="0" fontId="38" fillId="27" borderId="46" xfId="0" applyFont="1" applyFill="1" applyBorder="1"/>
    <xf numFmtId="0" fontId="38" fillId="27" borderId="0" xfId="0" applyFont="1" applyFill="1" applyBorder="1"/>
    <xf numFmtId="0" fontId="38" fillId="27" borderId="27" xfId="0" applyFont="1" applyFill="1" applyBorder="1"/>
    <xf numFmtId="0" fontId="38" fillId="27" borderId="13" xfId="0" applyFont="1" applyFill="1" applyBorder="1"/>
    <xf numFmtId="0" fontId="38" fillId="27" borderId="14" xfId="0" applyFont="1" applyFill="1" applyBorder="1"/>
    <xf numFmtId="0" fontId="38" fillId="27" borderId="15" xfId="0" applyFont="1" applyFill="1" applyBorder="1"/>
    <xf numFmtId="0" fontId="36" fillId="28" borderId="0" xfId="0" applyFont="1" applyFill="1"/>
    <xf numFmtId="0" fontId="37" fillId="28" borderId="0" xfId="0" applyFont="1" applyFill="1"/>
    <xf numFmtId="0" fontId="6" fillId="4" borderId="1" xfId="0" applyFont="1" applyFill="1" applyBorder="1" applyAlignment="1">
      <alignment horizontal="center" vertical="center"/>
    </xf>
    <xf numFmtId="0" fontId="6" fillId="0" borderId="0" xfId="0" applyFont="1" applyAlignment="1">
      <alignment horizontal="center" vertical="center"/>
    </xf>
    <xf numFmtId="0" fontId="0" fillId="2" borderId="11" xfId="0" applyFill="1" applyBorder="1"/>
    <xf numFmtId="0" fontId="0" fillId="0" borderId="1" xfId="0" applyBorder="1" applyAlignment="1">
      <alignment horizontal="center"/>
    </xf>
    <xf numFmtId="0" fontId="6" fillId="4" borderId="9" xfId="0" applyFont="1" applyFill="1" applyBorder="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16" fillId="2" borderId="8" xfId="0" applyFont="1" applyFill="1" applyBorder="1" applyAlignment="1">
      <alignment horizontal="center"/>
    </xf>
    <xf numFmtId="0" fontId="16" fillId="2" borderId="36" xfId="0" applyFont="1"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6" fillId="3" borderId="9"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6" fillId="12" borderId="8" xfId="0" applyFont="1" applyFill="1" applyBorder="1" applyAlignment="1">
      <alignment horizontal="center"/>
    </xf>
    <xf numFmtId="0" fontId="6" fillId="12" borderId="24" xfId="0" applyFont="1" applyFill="1" applyBorder="1" applyAlignment="1">
      <alignment horizontal="center"/>
    </xf>
    <xf numFmtId="0" fontId="6" fillId="12" borderId="25" xfId="0" applyFont="1" applyFill="1" applyBorder="1" applyAlignment="1">
      <alignment horizontal="center"/>
    </xf>
    <xf numFmtId="0" fontId="9" fillId="2" borderId="1" xfId="0" applyFont="1" applyFill="1" applyBorder="1" applyAlignment="1">
      <alignment horizontal="center"/>
    </xf>
    <xf numFmtId="0" fontId="9" fillId="2" borderId="35" xfId="0" applyFont="1" applyFill="1" applyBorder="1" applyAlignment="1">
      <alignment horizontal="center"/>
    </xf>
    <xf numFmtId="0" fontId="1" fillId="0" borderId="8"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6" fillId="3" borderId="0" xfId="0" applyFont="1" applyFill="1" applyBorder="1" applyAlignment="1">
      <alignment horizontal="center"/>
    </xf>
    <xf numFmtId="0" fontId="6" fillId="3" borderId="27" xfId="0" applyFont="1" applyFill="1" applyBorder="1" applyAlignment="1">
      <alignment horizontal="center"/>
    </xf>
    <xf numFmtId="0" fontId="14" fillId="0" borderId="16" xfId="0" applyFont="1" applyFill="1" applyBorder="1" applyAlignment="1">
      <alignment horizontal="center"/>
    </xf>
    <xf numFmtId="0" fontId="14" fillId="0" borderId="22" xfId="0" applyFont="1" applyFill="1" applyBorder="1" applyAlignment="1">
      <alignment horizontal="center"/>
    </xf>
    <xf numFmtId="0" fontId="14" fillId="0" borderId="28" xfId="0" applyFont="1" applyFill="1" applyBorder="1" applyAlignment="1">
      <alignment horizontal="center"/>
    </xf>
    <xf numFmtId="0" fontId="6" fillId="3" borderId="9" xfId="0" applyFont="1" applyFill="1" applyBorder="1" applyAlignment="1">
      <alignment horizontal="right"/>
    </xf>
    <xf numFmtId="0" fontId="0" fillId="3" borderId="10" xfId="0" applyFill="1" applyBorder="1"/>
    <xf numFmtId="0" fontId="0" fillId="3" borderId="11" xfId="0" applyFill="1" applyBorder="1"/>
    <xf numFmtId="0" fontId="6" fillId="3" borderId="29" xfId="0" applyFont="1" applyFill="1" applyBorder="1" applyAlignment="1">
      <alignment horizontal="center"/>
    </xf>
    <xf numFmtId="0" fontId="0" fillId="0" borderId="23" xfId="0" applyBorder="1"/>
    <xf numFmtId="0" fontId="0" fillId="0" borderId="30" xfId="0" applyBorder="1"/>
    <xf numFmtId="0" fontId="22" fillId="0" borderId="8" xfId="0" applyFont="1" applyBorder="1" applyAlignment="1">
      <alignment horizontal="center"/>
    </xf>
    <xf numFmtId="0" fontId="22" fillId="0" borderId="24" xfId="0" applyFont="1" applyBorder="1" applyAlignment="1">
      <alignment horizontal="center"/>
    </xf>
    <xf numFmtId="0" fontId="22" fillId="0" borderId="31" xfId="0" applyFont="1" applyBorder="1" applyAlignment="1">
      <alignment horizontal="center"/>
    </xf>
    <xf numFmtId="0" fontId="6" fillId="3" borderId="10" xfId="0" applyFont="1" applyFill="1" applyBorder="1" applyAlignment="1">
      <alignment horizontal="right"/>
    </xf>
    <xf numFmtId="0" fontId="6" fillId="3" borderId="11" xfId="0" applyFont="1" applyFill="1" applyBorder="1" applyAlignment="1">
      <alignment horizontal="right"/>
    </xf>
    <xf numFmtId="0" fontId="1" fillId="3" borderId="1" xfId="0" applyFont="1" applyFill="1" applyBorder="1" applyAlignment="1">
      <alignment horizontal="center"/>
    </xf>
    <xf numFmtId="0" fontId="13" fillId="3" borderId="9" xfId="0" applyFont="1" applyFill="1" applyBorder="1" applyAlignment="1">
      <alignment horizontal="center"/>
    </xf>
    <xf numFmtId="0" fontId="13" fillId="3" borderId="10" xfId="0" applyFont="1" applyFill="1" applyBorder="1" applyAlignment="1">
      <alignment horizontal="center"/>
    </xf>
    <xf numFmtId="0" fontId="13" fillId="3" borderId="11" xfId="0" applyFon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21" xfId="0" applyBorder="1" applyAlignment="1">
      <alignment horizontal="center"/>
    </xf>
    <xf numFmtId="0" fontId="22" fillId="0" borderId="17" xfId="0" applyFont="1" applyBorder="1" applyAlignment="1">
      <alignment horizontal="center"/>
    </xf>
    <xf numFmtId="0" fontId="22" fillId="0" borderId="1" xfId="0" applyFont="1" applyBorder="1" applyAlignment="1">
      <alignment horizontal="center"/>
    </xf>
    <xf numFmtId="0" fontId="6" fillId="4" borderId="16" xfId="0" applyFont="1" applyFill="1" applyBorder="1" applyAlignment="1">
      <alignment horizontal="center"/>
    </xf>
    <xf numFmtId="0" fontId="6" fillId="4" borderId="22" xfId="0" applyFont="1" applyFill="1" applyBorder="1" applyAlignment="1">
      <alignment horizontal="center"/>
    </xf>
    <xf numFmtId="0" fontId="6" fillId="4" borderId="28" xfId="0" applyFont="1" applyFill="1" applyBorder="1" applyAlignment="1">
      <alignment horizontal="center"/>
    </xf>
    <xf numFmtId="0" fontId="22" fillId="0" borderId="25" xfId="0" applyFont="1" applyBorder="1" applyAlignment="1">
      <alignment horizontal="center"/>
    </xf>
    <xf numFmtId="0" fontId="0" fillId="0" borderId="11" xfId="0" applyBorder="1" applyAlignment="1">
      <alignment horizontal="center"/>
    </xf>
    <xf numFmtId="0" fontId="5" fillId="16" borderId="0" xfId="0" applyFont="1" applyFill="1" applyBorder="1" applyAlignment="1">
      <alignment horizontal="center"/>
    </xf>
    <xf numFmtId="0" fontId="5" fillId="16" borderId="21" xfId="0" applyFont="1" applyFill="1" applyBorder="1" applyAlignment="1">
      <alignment horizontal="center"/>
    </xf>
    <xf numFmtId="0" fontId="21" fillId="0" borderId="0" xfId="0" applyFont="1" applyAlignment="1">
      <alignment horizontal="center"/>
    </xf>
    <xf numFmtId="0" fontId="1" fillId="0" borderId="9" xfId="0" applyFont="1" applyBorder="1" applyAlignment="1">
      <alignment horizontal="center"/>
    </xf>
    <xf numFmtId="0" fontId="0" fillId="0" borderId="10" xfId="0" applyBorder="1"/>
    <xf numFmtId="0" fontId="0" fillId="0" borderId="11" xfId="0" applyBorder="1"/>
    <xf numFmtId="0" fontId="5" fillId="2" borderId="8" xfId="0" applyFont="1" applyFill="1" applyBorder="1" applyAlignment="1">
      <alignment horizontal="center"/>
    </xf>
    <xf numFmtId="0" fontId="5" fillId="2" borderId="24" xfId="0" applyFont="1" applyFill="1" applyBorder="1" applyAlignment="1">
      <alignment horizontal="center"/>
    </xf>
    <xf numFmtId="0" fontId="5" fillId="2" borderId="1" xfId="0" applyFont="1" applyFill="1" applyBorder="1" applyAlignment="1">
      <alignment horizontal="center"/>
    </xf>
    <xf numFmtId="0" fontId="5" fillId="2" borderId="35" xfId="0" applyFont="1" applyFill="1" applyBorder="1" applyAlignment="1">
      <alignment horizontal="center"/>
    </xf>
    <xf numFmtId="0" fontId="14" fillId="4" borderId="16" xfId="0" applyFont="1" applyFill="1" applyBorder="1" applyAlignment="1">
      <alignment horizontal="center"/>
    </xf>
    <xf numFmtId="0" fontId="14" fillId="4" borderId="22" xfId="0" applyFont="1" applyFill="1" applyBorder="1" applyAlignment="1">
      <alignment horizontal="center"/>
    </xf>
    <xf numFmtId="0" fontId="14" fillId="4" borderId="28" xfId="0" applyFont="1" applyFill="1" applyBorder="1" applyAlignment="1">
      <alignment horizontal="center"/>
    </xf>
    <xf numFmtId="0" fontId="0" fillId="0" borderId="31" xfId="0" applyBorder="1" applyAlignment="1">
      <alignment horizontal="center"/>
    </xf>
    <xf numFmtId="0" fontId="5" fillId="0" borderId="0" xfId="0" applyFont="1" applyAlignment="1">
      <alignment horizontal="center"/>
    </xf>
    <xf numFmtId="0" fontId="5" fillId="0" borderId="8" xfId="0" applyFont="1" applyBorder="1" applyAlignment="1">
      <alignment horizontal="right"/>
    </xf>
    <xf numFmtId="0" fontId="5" fillId="0" borderId="24" xfId="0" applyFont="1" applyBorder="1" applyAlignment="1">
      <alignment horizontal="right"/>
    </xf>
    <xf numFmtId="0" fontId="5" fillId="0" borderId="25" xfId="0" applyFont="1" applyBorder="1" applyAlignment="1">
      <alignment horizontal="right"/>
    </xf>
    <xf numFmtId="0" fontId="6" fillId="3" borderId="0" xfId="0" applyFont="1" applyFill="1" applyAlignment="1">
      <alignment horizontal="right"/>
    </xf>
    <xf numFmtId="0" fontId="0" fillId="3" borderId="0" xfId="0" applyFill="1"/>
    <xf numFmtId="0" fontId="0" fillId="3" borderId="27" xfId="0" applyFill="1" applyBorder="1"/>
    <xf numFmtId="0" fontId="0" fillId="10" borderId="1" xfId="0" applyFill="1" applyBorder="1" applyAlignment="1">
      <alignment horizontal="left"/>
    </xf>
    <xf numFmtId="0" fontId="0" fillId="10" borderId="8" xfId="0" applyFill="1" applyBorder="1" applyAlignment="1">
      <alignment horizontal="left"/>
    </xf>
    <xf numFmtId="0" fontId="6" fillId="12" borderId="1" xfId="0" applyFont="1" applyFill="1" applyBorder="1" applyAlignment="1">
      <alignment horizontal="center"/>
    </xf>
    <xf numFmtId="0" fontId="16" fillId="10" borderId="0" xfId="0" applyFont="1" applyFill="1" applyAlignment="1">
      <alignment horizontal="center"/>
    </xf>
    <xf numFmtId="0" fontId="0" fillId="10" borderId="0" xfId="0" applyFill="1" applyAlignment="1">
      <alignment horizontal="center"/>
    </xf>
    <xf numFmtId="0" fontId="5" fillId="10" borderId="0" xfId="0" applyFont="1" applyFill="1" applyAlignment="1">
      <alignment horizontal="center"/>
    </xf>
    <xf numFmtId="0" fontId="14" fillId="4" borderId="0" xfId="0" applyFont="1" applyFill="1" applyAlignment="1">
      <alignment horizontal="center"/>
    </xf>
    <xf numFmtId="0" fontId="0" fillId="4" borderId="0" xfId="0" applyFill="1" applyAlignment="1">
      <alignment horizontal="center"/>
    </xf>
    <xf numFmtId="0" fontId="0" fillId="9" borderId="0" xfId="0" applyFill="1" applyAlignment="1">
      <alignment horizontal="center"/>
    </xf>
    <xf numFmtId="0" fontId="6" fillId="10" borderId="1" xfId="0" applyFont="1" applyFill="1" applyBorder="1" applyAlignment="1">
      <alignment horizontal="left"/>
    </xf>
    <xf numFmtId="0" fontId="13" fillId="9" borderId="0" xfId="0" applyFont="1" applyFill="1" applyAlignment="1">
      <alignment horizontal="center"/>
    </xf>
    <xf numFmtId="0" fontId="13" fillId="10" borderId="0" xfId="0" applyFont="1" applyFill="1" applyAlignment="1">
      <alignment horizontal="center"/>
    </xf>
    <xf numFmtId="0" fontId="0" fillId="10" borderId="1" xfId="0" applyFill="1" applyBorder="1" applyAlignment="1">
      <alignment horizontal="center"/>
    </xf>
    <xf numFmtId="0" fontId="0" fillId="5" borderId="0" xfId="0" applyFill="1" applyAlignment="1">
      <alignment horizontal="center"/>
    </xf>
    <xf numFmtId="0" fontId="1" fillId="4" borderId="0" xfId="0" applyFont="1" applyFill="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0" xfId="0" applyFill="1" applyAlignment="1">
      <alignment horizontal="center"/>
    </xf>
    <xf numFmtId="0" fontId="5" fillId="12" borderId="1" xfId="0" applyFont="1" applyFill="1" applyBorder="1" applyAlignment="1">
      <alignment horizontal="center"/>
    </xf>
    <xf numFmtId="0" fontId="0" fillId="12" borderId="8" xfId="0" applyFill="1" applyBorder="1" applyAlignment="1">
      <alignment horizontal="center"/>
    </xf>
    <xf numFmtId="0" fontId="0" fillId="12" borderId="17" xfId="0" applyFill="1" applyBorder="1" applyAlignment="1">
      <alignment horizontal="center"/>
    </xf>
    <xf numFmtId="0" fontId="0" fillId="12" borderId="37" xfId="0" applyFill="1" applyBorder="1" applyAlignment="1">
      <alignment horizontal="center"/>
    </xf>
    <xf numFmtId="0" fontId="0" fillId="12" borderId="1" xfId="0" applyFill="1" applyBorder="1" applyAlignment="1">
      <alignment horizontal="center"/>
    </xf>
    <xf numFmtId="0" fontId="6" fillId="4" borderId="9" xfId="0" applyFont="1" applyFill="1" applyBorder="1" applyAlignment="1">
      <alignment horizontal="right"/>
    </xf>
    <xf numFmtId="0" fontId="6" fillId="4" borderId="10" xfId="0" applyFont="1" applyFill="1" applyBorder="1" applyAlignment="1">
      <alignment horizontal="right"/>
    </xf>
    <xf numFmtId="0" fontId="6" fillId="4" borderId="11" xfId="0" applyFont="1" applyFill="1" applyBorder="1" applyAlignment="1">
      <alignment horizontal="right"/>
    </xf>
    <xf numFmtId="0" fontId="3" fillId="0" borderId="9" xfId="0" applyFont="1" applyBorder="1" applyAlignment="1">
      <alignment horizontal="center"/>
    </xf>
    <xf numFmtId="0" fontId="3" fillId="0" borderId="10" xfId="0" applyFont="1" applyBorder="1" applyAlignment="1">
      <alignment horizontal="center"/>
    </xf>
    <xf numFmtId="0" fontId="0" fillId="12" borderId="35" xfId="0" applyFill="1" applyBorder="1" applyAlignment="1">
      <alignment horizontal="center"/>
    </xf>
    <xf numFmtId="0" fontId="1" fillId="0" borderId="0" xfId="0" applyFont="1" applyAlignment="1">
      <alignment horizontal="center"/>
    </xf>
    <xf numFmtId="0" fontId="0" fillId="0" borderId="0" xfId="0" applyAlignment="1">
      <alignment horizontal="right"/>
    </xf>
    <xf numFmtId="0" fontId="0" fillId="2" borderId="1" xfId="0" applyFill="1" applyBorder="1" applyAlignment="1">
      <alignment horizontal="center"/>
    </xf>
    <xf numFmtId="0" fontId="0" fillId="8" borderId="1" xfId="0" applyFill="1" applyBorder="1" applyAlignment="1">
      <alignment horizontal="center"/>
    </xf>
    <xf numFmtId="0" fontId="0" fillId="10" borderId="17" xfId="0" applyFill="1" applyBorder="1" applyAlignment="1">
      <alignment horizontal="center"/>
    </xf>
    <xf numFmtId="0" fontId="19" fillId="12" borderId="1" xfId="0" applyFont="1" applyFill="1" applyBorder="1" applyAlignment="1">
      <alignment horizontal="center"/>
    </xf>
    <xf numFmtId="0" fontId="16" fillId="2" borderId="1" xfId="0" applyFont="1" applyFill="1" applyBorder="1" applyAlignment="1">
      <alignment horizontal="center"/>
    </xf>
    <xf numFmtId="0" fontId="9" fillId="2" borderId="8" xfId="0" applyFont="1" applyFill="1" applyBorder="1" applyAlignment="1">
      <alignment horizontal="center"/>
    </xf>
    <xf numFmtId="0" fontId="0" fillId="2" borderId="8" xfId="0" applyFill="1" applyBorder="1" applyAlignment="1">
      <alignment horizontal="center"/>
    </xf>
    <xf numFmtId="0" fontId="0" fillId="2" borderId="36" xfId="0" applyFill="1" applyBorder="1" applyAlignment="1">
      <alignment horizontal="center"/>
    </xf>
    <xf numFmtId="0" fontId="9" fillId="2" borderId="18" xfId="0" applyFont="1" applyFill="1" applyBorder="1" applyAlignment="1">
      <alignment horizontal="center"/>
    </xf>
    <xf numFmtId="0" fontId="9" fillId="2" borderId="66" xfId="0" applyFont="1" applyFill="1" applyBorder="1" applyAlignment="1">
      <alignment horizont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0" fontId="6" fillId="4" borderId="1" xfId="0" applyFont="1" applyFill="1" applyBorder="1" applyAlignment="1">
      <alignment horizontal="right"/>
    </xf>
    <xf numFmtId="0" fontId="6" fillId="3" borderId="22" xfId="0" applyFont="1" applyFill="1" applyBorder="1" applyAlignment="1">
      <alignment horizontal="center"/>
    </xf>
    <xf numFmtId="0" fontId="6" fillId="3" borderId="28" xfId="0" applyFont="1" applyFill="1" applyBorder="1" applyAlignment="1">
      <alignment horizontal="center"/>
    </xf>
    <xf numFmtId="0" fontId="0" fillId="0" borderId="1" xfId="0" applyFill="1" applyBorder="1" applyAlignment="1">
      <alignment horizontal="center"/>
    </xf>
    <xf numFmtId="0" fontId="5" fillId="2" borderId="37" xfId="0" applyFont="1" applyFill="1" applyBorder="1" applyAlignment="1">
      <alignment horizontal="center"/>
    </xf>
    <xf numFmtId="0" fontId="5" fillId="2" borderId="38" xfId="0" applyFont="1" applyFill="1" applyBorder="1" applyAlignment="1">
      <alignment horizontal="center"/>
    </xf>
    <xf numFmtId="0" fontId="0" fillId="0" borderId="28" xfId="0" applyBorder="1"/>
    <xf numFmtId="0" fontId="6" fillId="0" borderId="39" xfId="0" applyFont="1" applyBorder="1" applyAlignment="1">
      <alignment horizontal="center" vertical="center"/>
    </xf>
    <xf numFmtId="0" fontId="6" fillId="0" borderId="23" xfId="0" applyFont="1" applyBorder="1" applyAlignment="1">
      <alignment horizontal="center" vertical="center"/>
    </xf>
    <xf numFmtId="0" fontId="6" fillId="0" borderId="31" xfId="0" applyFont="1" applyBorder="1" applyAlignment="1">
      <alignment horizontal="center" vertical="center"/>
    </xf>
    <xf numFmtId="0" fontId="6" fillId="0" borderId="59" xfId="0" applyFont="1" applyBorder="1" applyAlignment="1">
      <alignment horizontal="center" vertical="center"/>
    </xf>
    <xf numFmtId="0" fontId="6" fillId="0" borderId="0" xfId="0" applyFont="1" applyBorder="1" applyAlignment="1">
      <alignment horizontal="center" vertical="center"/>
    </xf>
    <xf numFmtId="0" fontId="6" fillId="0" borderId="21" xfId="0" applyFont="1" applyBorder="1" applyAlignment="1">
      <alignment horizontal="center" vertical="center"/>
    </xf>
    <xf numFmtId="0" fontId="6" fillId="0" borderId="37" xfId="0" applyFont="1" applyBorder="1" applyAlignment="1">
      <alignment horizontal="center" vertical="center"/>
    </xf>
    <xf numFmtId="0" fontId="6" fillId="0" borderId="47" xfId="0" applyFont="1" applyBorder="1" applyAlignment="1">
      <alignment horizontal="center" vertical="center"/>
    </xf>
    <xf numFmtId="0" fontId="6" fillId="0" borderId="48" xfId="0" applyFont="1" applyBorder="1" applyAlignment="1">
      <alignment horizontal="center" vertical="center"/>
    </xf>
    <xf numFmtId="0" fontId="6" fillId="2" borderId="1" xfId="0" applyFont="1" applyFill="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26" borderId="18" xfId="0" applyFill="1" applyBorder="1" applyAlignment="1">
      <alignment horizontal="center"/>
    </xf>
    <xf numFmtId="0" fontId="0" fillId="26" borderId="20" xfId="0" applyFill="1" applyBorder="1" applyAlignment="1">
      <alignment horizontal="center"/>
    </xf>
    <xf numFmtId="0" fontId="0" fillId="26" borderId="17" xfId="0" applyFill="1" applyBorder="1" applyAlignment="1">
      <alignment horizontal="center"/>
    </xf>
    <xf numFmtId="0" fontId="6" fillId="2" borderId="1" xfId="0" applyFont="1" applyFill="1" applyBorder="1" applyAlignment="1">
      <alignment horizontal="center" vertical="center"/>
    </xf>
    <xf numFmtId="0" fontId="6" fillId="4" borderId="1" xfId="0" applyFont="1" applyFill="1" applyBorder="1" applyAlignment="1">
      <alignment horizontal="center"/>
    </xf>
    <xf numFmtId="0" fontId="5" fillId="6" borderId="1" xfId="0" applyFont="1" applyFill="1" applyBorder="1" applyAlignment="1">
      <alignment horizontal="center"/>
    </xf>
    <xf numFmtId="0" fontId="6" fillId="6" borderId="1" xfId="0" applyFont="1" applyFill="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6" fillId="16" borderId="1" xfId="0" applyFont="1" applyFill="1" applyBorder="1" applyAlignment="1">
      <alignment horizontal="center"/>
    </xf>
    <xf numFmtId="0" fontId="6" fillId="25" borderId="39" xfId="0" applyFont="1" applyFill="1" applyBorder="1" applyAlignment="1">
      <alignment horizontal="center" vertical="center"/>
    </xf>
    <xf numFmtId="0" fontId="6" fillId="25" borderId="31" xfId="0" applyFont="1" applyFill="1" applyBorder="1" applyAlignment="1">
      <alignment horizontal="center" vertical="center"/>
    </xf>
    <xf numFmtId="0" fontId="6" fillId="25" borderId="37" xfId="0" applyFont="1" applyFill="1" applyBorder="1" applyAlignment="1">
      <alignment horizontal="center" vertical="center"/>
    </xf>
    <xf numFmtId="0" fontId="6" fillId="25" borderId="48" xfId="0" applyFont="1" applyFill="1" applyBorder="1" applyAlignment="1">
      <alignment horizontal="center" vertical="center"/>
    </xf>
    <xf numFmtId="0" fontId="6" fillId="0" borderId="46" xfId="0" applyFont="1" applyBorder="1" applyAlignment="1">
      <alignment horizontal="center"/>
    </xf>
    <xf numFmtId="0" fontId="6" fillId="0" borderId="0" xfId="0" applyFont="1" applyBorder="1" applyAlignment="1">
      <alignment horizontal="center"/>
    </xf>
    <xf numFmtId="0" fontId="6" fillId="0" borderId="0" xfId="0" applyFont="1" applyAlignment="1">
      <alignment horizontal="center"/>
    </xf>
    <xf numFmtId="0" fontId="6" fillId="0" borderId="69" xfId="0" applyFont="1" applyBorder="1" applyAlignment="1">
      <alignment horizontal="center" vertical="center"/>
    </xf>
    <xf numFmtId="0" fontId="6" fillId="0" borderId="70" xfId="0" applyFont="1" applyBorder="1" applyAlignment="1">
      <alignment horizontal="center" vertical="center"/>
    </xf>
    <xf numFmtId="0" fontId="14" fillId="19" borderId="9" xfId="0" applyFont="1" applyFill="1" applyBorder="1" applyAlignment="1">
      <alignment horizontal="center"/>
    </xf>
    <xf numFmtId="0" fontId="14" fillId="19" borderId="11" xfId="0" applyFont="1" applyFill="1" applyBorder="1" applyAlignment="1">
      <alignment horizontal="center"/>
    </xf>
    <xf numFmtId="0" fontId="9" fillId="0" borderId="17" xfId="0" applyFont="1" applyBorder="1" applyAlignment="1">
      <alignment horizontal="center"/>
    </xf>
    <xf numFmtId="0" fontId="9" fillId="0" borderId="3" xfId="0" applyFont="1" applyBorder="1" applyAlignment="1">
      <alignment horizontal="center"/>
    </xf>
    <xf numFmtId="0" fontId="9" fillId="2" borderId="3"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5" fillId="2" borderId="41" xfId="0" applyFont="1" applyFill="1" applyBorder="1" applyAlignment="1">
      <alignment horizontal="center"/>
    </xf>
    <xf numFmtId="0" fontId="6" fillId="24" borderId="1" xfId="0" applyFont="1" applyFill="1" applyBorder="1" applyAlignment="1">
      <alignment horizontal="center"/>
    </xf>
    <xf numFmtId="0" fontId="6" fillId="24" borderId="8" xfId="0" applyFont="1" applyFill="1" applyBorder="1" applyAlignment="1">
      <alignment horizontal="center"/>
    </xf>
    <xf numFmtId="0" fontId="6" fillId="0" borderId="56" xfId="0" applyFont="1" applyBorder="1" applyAlignment="1">
      <alignment horizontal="center"/>
    </xf>
    <xf numFmtId="0" fontId="6" fillId="0" borderId="71" xfId="0" applyFont="1" applyBorder="1" applyAlignment="1">
      <alignment horizontal="center"/>
    </xf>
    <xf numFmtId="0" fontId="6" fillId="0" borderId="20" xfId="0" applyFont="1" applyBorder="1" applyAlignment="1">
      <alignment horizontal="center"/>
    </xf>
    <xf numFmtId="0" fontId="6" fillId="0" borderId="59" xfId="0" applyFont="1" applyBorder="1" applyAlignment="1">
      <alignment horizontal="center"/>
    </xf>
    <xf numFmtId="0" fontId="26" fillId="0" borderId="56" xfId="0" applyFont="1" applyBorder="1" applyAlignment="1">
      <alignment horizontal="center"/>
    </xf>
    <xf numFmtId="0" fontId="26" fillId="0" borderId="57" xfId="0" applyFont="1" applyBorder="1" applyAlignment="1">
      <alignment horizontal="center"/>
    </xf>
    <xf numFmtId="0" fontId="26" fillId="0" borderId="17" xfId="0" applyFont="1" applyBorder="1" applyAlignment="1">
      <alignment horizontal="center"/>
    </xf>
    <xf numFmtId="0" fontId="6" fillId="0" borderId="57" xfId="0" applyFont="1" applyBorder="1" applyAlignment="1">
      <alignment horizontal="center"/>
    </xf>
    <xf numFmtId="0" fontId="6" fillId="24" borderId="2" xfId="0" applyFont="1" applyFill="1" applyBorder="1" applyAlignment="1">
      <alignment horizontal="center"/>
    </xf>
    <xf numFmtId="0" fontId="6" fillId="24" borderId="3" xfId="0" applyFont="1" applyFill="1" applyBorder="1" applyAlignment="1">
      <alignment horizontal="center"/>
    </xf>
    <xf numFmtId="0" fontId="5" fillId="24" borderId="3" xfId="0" applyFont="1" applyFill="1" applyBorder="1" applyAlignment="1">
      <alignment horizontal="center"/>
    </xf>
    <xf numFmtId="0" fontId="5" fillId="24" borderId="41" xfId="0" applyFont="1" applyFill="1" applyBorder="1" applyAlignment="1">
      <alignment horizontal="center"/>
    </xf>
    <xf numFmtId="0" fontId="26" fillId="0" borderId="37" xfId="0" applyFont="1" applyBorder="1" applyAlignment="1">
      <alignment horizontal="center"/>
    </xf>
    <xf numFmtId="0" fontId="26" fillId="0" borderId="47" xfId="0" applyFont="1" applyBorder="1" applyAlignment="1">
      <alignment horizontal="center"/>
    </xf>
    <xf numFmtId="0" fontId="26" fillId="0" borderId="48" xfId="0" applyFont="1" applyBorder="1" applyAlignment="1">
      <alignment horizontal="center"/>
    </xf>
    <xf numFmtId="0" fontId="6" fillId="24" borderId="63" xfId="0" applyFont="1" applyFill="1" applyBorder="1" applyAlignment="1">
      <alignment horizontal="center"/>
    </xf>
    <xf numFmtId="0" fontId="6" fillId="24" borderId="64" xfId="0" applyFont="1" applyFill="1" applyBorder="1" applyAlignment="1">
      <alignment horizontal="center"/>
    </xf>
    <xf numFmtId="0" fontId="6" fillId="0" borderId="55" xfId="0" applyFont="1" applyBorder="1" applyAlignment="1">
      <alignment horizontal="center"/>
    </xf>
    <xf numFmtId="0" fontId="6" fillId="0" borderId="53" xfId="0" applyFont="1" applyBorder="1" applyAlignment="1">
      <alignment horizontal="center"/>
    </xf>
    <xf numFmtId="0" fontId="6" fillId="0" borderId="17" xfId="0" applyFont="1" applyBorder="1" applyAlignment="1">
      <alignment horizontal="center"/>
    </xf>
    <xf numFmtId="0" fontId="26" fillId="0" borderId="53" xfId="0" applyFont="1" applyBorder="1" applyAlignment="1">
      <alignment horizontal="center"/>
    </xf>
    <xf numFmtId="0" fontId="26" fillId="0" borderId="9" xfId="0" applyFont="1" applyBorder="1" applyAlignment="1">
      <alignment horizontal="center"/>
    </xf>
    <xf numFmtId="0" fontId="26" fillId="0" borderId="10" xfId="0" applyFont="1" applyBorder="1" applyAlignment="1">
      <alignment horizontal="center"/>
    </xf>
    <xf numFmtId="0" fontId="26" fillId="0" borderId="52" xfId="0" applyFont="1" applyBorder="1" applyAlignment="1">
      <alignment horizontal="center"/>
    </xf>
    <xf numFmtId="0" fontId="6" fillId="0" borderId="8"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0" fillId="0" borderId="16" xfId="0" applyBorder="1" applyAlignment="1">
      <alignment horizontal="center"/>
    </xf>
    <xf numFmtId="0" fontId="0" fillId="0" borderId="22" xfId="0" applyBorder="1" applyAlignment="1">
      <alignment horizontal="center"/>
    </xf>
    <xf numFmtId="0" fontId="0" fillId="0" borderId="28" xfId="0" applyBorder="1" applyAlignment="1">
      <alignment horizontal="center"/>
    </xf>
    <xf numFmtId="0" fontId="21" fillId="20" borderId="1" xfId="0" applyFont="1" applyFill="1" applyBorder="1" applyAlignment="1">
      <alignment horizontal="center"/>
    </xf>
    <xf numFmtId="0" fontId="14" fillId="0" borderId="18" xfId="0" applyFont="1" applyBorder="1" applyAlignment="1">
      <alignment horizontal="center"/>
    </xf>
    <xf numFmtId="0" fontId="6" fillId="0" borderId="18" xfId="0" applyFont="1" applyBorder="1" applyAlignment="1">
      <alignment horizontal="center"/>
    </xf>
    <xf numFmtId="0" fontId="0" fillId="8" borderId="25" xfId="0" applyFill="1" applyBorder="1" applyAlignment="1">
      <alignment horizontal="center"/>
    </xf>
    <xf numFmtId="0" fontId="6" fillId="0" borderId="58" xfId="0" applyFont="1" applyBorder="1" applyAlignment="1">
      <alignment horizontal="center"/>
    </xf>
    <xf numFmtId="0" fontId="6" fillId="0" borderId="47" xfId="0" applyFont="1" applyBorder="1" applyAlignment="1">
      <alignment horizontal="center"/>
    </xf>
    <xf numFmtId="0" fontId="6" fillId="0" borderId="48" xfId="0" applyFont="1" applyBorder="1" applyAlignment="1">
      <alignment horizontal="center"/>
    </xf>
    <xf numFmtId="0" fontId="6" fillId="0" borderId="50" xfId="0" applyFont="1" applyBorder="1" applyAlignment="1">
      <alignment horizontal="center"/>
    </xf>
    <xf numFmtId="0" fontId="6" fillId="0" borderId="29" xfId="0" applyFont="1" applyBorder="1" applyAlignment="1">
      <alignment horizontal="center"/>
    </xf>
    <xf numFmtId="0" fontId="6" fillId="0" borderId="23" xfId="0" applyFont="1" applyBorder="1" applyAlignment="1">
      <alignment horizontal="center"/>
    </xf>
    <xf numFmtId="0" fontId="6" fillId="0" borderId="31" xfId="0" applyFont="1" applyBorder="1" applyAlignment="1">
      <alignment horizontal="center"/>
    </xf>
    <xf numFmtId="0" fontId="6" fillId="0" borderId="52" xfId="0" applyFont="1" applyBorder="1" applyAlignment="1">
      <alignment horizontal="center"/>
    </xf>
    <xf numFmtId="0" fontId="6" fillId="24" borderId="17" xfId="0" applyFont="1" applyFill="1" applyBorder="1" applyAlignment="1">
      <alignment horizontal="center"/>
    </xf>
    <xf numFmtId="0" fontId="26" fillId="0" borderId="8" xfId="0" applyFont="1" applyBorder="1" applyAlignment="1">
      <alignment horizontal="center"/>
    </xf>
    <xf numFmtId="0" fontId="26" fillId="0" borderId="24" xfId="0" applyFont="1" applyBorder="1" applyAlignment="1">
      <alignment horizontal="center"/>
    </xf>
    <xf numFmtId="0" fontId="26" fillId="0" borderId="25" xfId="0" applyFont="1" applyBorder="1" applyAlignment="1">
      <alignment horizontal="center"/>
    </xf>
    <xf numFmtId="0" fontId="6" fillId="0" borderId="21" xfId="0" applyFont="1" applyBorder="1" applyAlignment="1">
      <alignment horizontal="center"/>
    </xf>
    <xf numFmtId="0" fontId="6" fillId="0" borderId="60" xfId="0" applyFont="1" applyBorder="1" applyAlignment="1">
      <alignment horizontal="center"/>
    </xf>
    <xf numFmtId="0" fontId="5" fillId="0" borderId="55" xfId="0" applyFont="1" applyBorder="1" applyAlignment="1">
      <alignment horizontal="center"/>
    </xf>
    <xf numFmtId="0" fontId="5" fillId="0" borderId="56" xfId="0" applyFont="1" applyBorder="1" applyAlignment="1">
      <alignment horizontal="center"/>
    </xf>
    <xf numFmtId="0" fontId="5" fillId="0" borderId="20"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6" fillId="0" borderId="39" xfId="0" applyFont="1" applyBorder="1" applyAlignment="1">
      <alignment horizontal="center"/>
    </xf>
    <xf numFmtId="0" fontId="9" fillId="0" borderId="18" xfId="0" applyFont="1" applyBorder="1" applyAlignment="1">
      <alignment horizontal="center"/>
    </xf>
    <xf numFmtId="0" fontId="6" fillId="3" borderId="1" xfId="0" applyFont="1" applyFill="1" applyBorder="1" applyAlignment="1">
      <alignment horizontal="center"/>
    </xf>
    <xf numFmtId="0" fontId="20" fillId="3" borderId="18" xfId="0" applyFont="1" applyFill="1" applyBorder="1" applyAlignment="1">
      <alignment horizontal="center"/>
    </xf>
    <xf numFmtId="0" fontId="5" fillId="0" borderId="8" xfId="0" applyFont="1" applyBorder="1" applyAlignment="1">
      <alignment horizontal="center"/>
    </xf>
    <xf numFmtId="0" fontId="5" fillId="0" borderId="25"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7" fillId="18" borderId="0" xfId="0" applyFont="1" applyFill="1" applyAlignment="1">
      <alignment horizontal="center"/>
    </xf>
    <xf numFmtId="0" fontId="13" fillId="23" borderId="53" xfId="0" applyFont="1" applyFill="1" applyBorder="1" applyAlignment="1">
      <alignment horizontal="center"/>
    </xf>
    <xf numFmtId="0" fontId="13" fillId="23" borderId="17" xfId="0" applyFont="1" applyFill="1" applyBorder="1" applyAlignment="1">
      <alignment horizontal="center"/>
    </xf>
    <xf numFmtId="0" fontId="13" fillId="23" borderId="4" xfId="0" applyFont="1" applyFill="1" applyBorder="1" applyAlignment="1">
      <alignment horizontal="center"/>
    </xf>
    <xf numFmtId="0" fontId="13" fillId="23" borderId="1" xfId="0" applyFont="1" applyFill="1" applyBorder="1" applyAlignment="1">
      <alignment horizontal="center"/>
    </xf>
    <xf numFmtId="0" fontId="5" fillId="4" borderId="8" xfId="0" applyFont="1" applyFill="1" applyBorder="1" applyAlignment="1">
      <alignment horizontal="center"/>
    </xf>
    <xf numFmtId="0" fontId="5" fillId="4" borderId="25" xfId="0" applyFont="1" applyFill="1" applyBorder="1" applyAlignment="1">
      <alignment horizontal="center"/>
    </xf>
    <xf numFmtId="0" fontId="6" fillId="4" borderId="8" xfId="0" applyFont="1" applyFill="1" applyBorder="1" applyAlignment="1">
      <alignment horizontal="center"/>
    </xf>
    <xf numFmtId="0" fontId="6" fillId="4" borderId="25" xfId="0" applyFont="1" applyFill="1" applyBorder="1" applyAlignment="1">
      <alignment horizontal="center"/>
    </xf>
    <xf numFmtId="0" fontId="6" fillId="25" borderId="18" xfId="0" applyFont="1" applyFill="1" applyBorder="1" applyAlignment="1">
      <alignment horizontal="center"/>
    </xf>
    <xf numFmtId="0" fontId="6" fillId="25" borderId="1" xfId="0" applyFont="1" applyFill="1" applyBorder="1" applyAlignment="1">
      <alignment horizontal="center"/>
    </xf>
    <xf numFmtId="0" fontId="6" fillId="25" borderId="1" xfId="0" applyFont="1" applyFill="1" applyBorder="1" applyAlignment="1">
      <alignment horizontal="center" vertical="center"/>
    </xf>
    <xf numFmtId="0" fontId="5" fillId="0" borderId="0" xfId="0" applyFont="1" applyFill="1" applyBorder="1" applyAlignment="1">
      <alignment horizontal="center"/>
    </xf>
    <xf numFmtId="0" fontId="13" fillId="0" borderId="0"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6" fillId="18" borderId="2" xfId="0" applyFont="1" applyFill="1" applyBorder="1" applyAlignment="1">
      <alignment horizontal="center"/>
    </xf>
    <xf numFmtId="0" fontId="6" fillId="18" borderId="3" xfId="0" applyFont="1" applyFill="1" applyBorder="1" applyAlignment="1">
      <alignment horizontal="center"/>
    </xf>
    <xf numFmtId="0" fontId="5" fillId="8" borderId="4" xfId="0" applyFont="1" applyFill="1" applyBorder="1" applyAlignment="1">
      <alignment horizontal="center"/>
    </xf>
    <xf numFmtId="0" fontId="5" fillId="8" borderId="1" xfId="0" applyFont="1" applyFill="1" applyBorder="1" applyAlignment="1">
      <alignment horizontal="center"/>
    </xf>
    <xf numFmtId="0" fontId="13" fillId="8" borderId="4" xfId="0" applyFont="1" applyFill="1" applyBorder="1" applyAlignment="1">
      <alignment horizontal="center"/>
    </xf>
    <xf numFmtId="0" fontId="13" fillId="8" borderId="1" xfId="0" applyFont="1" applyFill="1" applyBorder="1" applyAlignment="1">
      <alignment horizontal="center"/>
    </xf>
    <xf numFmtId="0" fontId="13" fillId="8" borderId="5" xfId="0" applyFont="1" applyFill="1" applyBorder="1" applyAlignment="1">
      <alignment horizontal="center"/>
    </xf>
    <xf numFmtId="0" fontId="13" fillId="8" borderId="6" xfId="0" applyFont="1" applyFill="1" applyBorder="1" applyAlignment="1">
      <alignment horizontal="center"/>
    </xf>
    <xf numFmtId="0" fontId="5" fillId="0" borderId="1" xfId="0" applyFont="1" applyBorder="1" applyAlignment="1">
      <alignment horizontal="center" vertical="center"/>
    </xf>
    <xf numFmtId="0" fontId="13" fillId="16" borderId="1" xfId="0" applyFont="1" applyFill="1" applyBorder="1" applyAlignment="1">
      <alignment horizontal="center" vertical="center"/>
    </xf>
    <xf numFmtId="0" fontId="13" fillId="0" borderId="1" xfId="0" applyFont="1" applyBorder="1" applyAlignment="1">
      <alignment horizontal="center" vertical="center"/>
    </xf>
    <xf numFmtId="0" fontId="5" fillId="23" borderId="50" xfId="0" applyFont="1" applyFill="1" applyBorder="1" applyAlignment="1">
      <alignment horizontal="center"/>
    </xf>
    <xf numFmtId="0" fontId="5" fillId="23" borderId="25" xfId="0" applyFont="1" applyFill="1" applyBorder="1" applyAlignment="1">
      <alignment horizontal="center"/>
    </xf>
    <xf numFmtId="0" fontId="5" fillId="23" borderId="51" xfId="0" applyFont="1" applyFill="1" applyBorder="1" applyAlignment="1">
      <alignment horizontal="center"/>
    </xf>
    <xf numFmtId="0" fontId="5" fillId="23" borderId="45" xfId="0" applyFont="1" applyFill="1" applyBorder="1" applyAlignment="1">
      <alignment horizontal="center"/>
    </xf>
    <xf numFmtId="0" fontId="6" fillId="0" borderId="8" xfId="0" applyFont="1" applyBorder="1" applyAlignment="1">
      <alignment horizontal="center" vertical="center"/>
    </xf>
    <xf numFmtId="0" fontId="6" fillId="0" borderId="25" xfId="0" applyFont="1" applyBorder="1" applyAlignment="1">
      <alignment horizontal="center" vertical="center"/>
    </xf>
    <xf numFmtId="0" fontId="6" fillId="25" borderId="8" xfId="0" applyFont="1" applyFill="1" applyBorder="1" applyAlignment="1">
      <alignment horizontal="center" vertical="center"/>
    </xf>
    <xf numFmtId="0" fontId="6" fillId="25" borderId="24" xfId="0" applyFont="1" applyFill="1" applyBorder="1" applyAlignment="1">
      <alignment horizontal="center" vertical="center"/>
    </xf>
    <xf numFmtId="0" fontId="6" fillId="25" borderId="25"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808080"/>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l-GR"/>
              <a:t>τ</a:t>
            </a:r>
            <a:r>
              <a:rPr lang="az-Cyrl-AZ"/>
              <a:t>эф</a:t>
            </a:r>
            <a:r>
              <a:rPr lang="ar-EG"/>
              <a:t>حساب </a:t>
            </a:r>
            <a:endParaRPr lang="el-GR"/>
          </a:p>
        </c:rich>
      </c:tx>
    </c:title>
    <c:plotArea>
      <c:layout/>
      <c:scatterChart>
        <c:scatterStyle val="smoothMarker"/>
        <c:ser>
          <c:idx val="0"/>
          <c:order val="0"/>
          <c:tx>
            <c:strRef>
              <c:f>Sheet1!$H$114</c:f>
              <c:strCache>
                <c:ptCount val="1"/>
                <c:pt idx="0">
                  <c:v>τэф/τ</c:v>
                </c:pt>
              </c:strCache>
            </c:strRef>
          </c:tx>
          <c:marker>
            <c:symbol val="none"/>
          </c:marker>
          <c:trendline>
            <c:trendlineType val="poly"/>
            <c:order val="2"/>
            <c:dispEq val="1"/>
            <c:trendlineLbl>
              <c:layout>
                <c:manualLayout>
                  <c:x val="0.15503402572416081"/>
                  <c:y val="-0.37768929260984341"/>
                </c:manualLayout>
              </c:layout>
              <c:numFmt formatCode="General" sourceLinked="0"/>
            </c:trendlineLbl>
          </c:trendline>
          <c:xVal>
            <c:numRef>
              <c:f>Sheet1!$I$113:$N$113</c:f>
              <c:numCache>
                <c:formatCode>General</c:formatCode>
                <c:ptCount val="6"/>
                <c:pt idx="0">
                  <c:v>0</c:v>
                </c:pt>
                <c:pt idx="1">
                  <c:v>5</c:v>
                </c:pt>
                <c:pt idx="2">
                  <c:v>10</c:v>
                </c:pt>
                <c:pt idx="3">
                  <c:v>15</c:v>
                </c:pt>
                <c:pt idx="4">
                  <c:v>20</c:v>
                </c:pt>
                <c:pt idx="5">
                  <c:v>25</c:v>
                </c:pt>
              </c:numCache>
            </c:numRef>
          </c:xVal>
          <c:yVal>
            <c:numRef>
              <c:f>Sheet1!$I$114:$N$114</c:f>
              <c:numCache>
                <c:formatCode>General</c:formatCode>
                <c:ptCount val="6"/>
                <c:pt idx="0">
                  <c:v>1</c:v>
                </c:pt>
                <c:pt idx="1">
                  <c:v>0.83</c:v>
                </c:pt>
                <c:pt idx="2">
                  <c:v>0.69499999999999995</c:v>
                </c:pt>
                <c:pt idx="3">
                  <c:v>0.59499999999999997</c:v>
                </c:pt>
                <c:pt idx="4">
                  <c:v>0.53800000000000003</c:v>
                </c:pt>
                <c:pt idx="5">
                  <c:v>0.52</c:v>
                </c:pt>
              </c:numCache>
            </c:numRef>
          </c:yVal>
          <c:smooth val="1"/>
        </c:ser>
        <c:axId val="55748096"/>
        <c:axId val="55750016"/>
      </c:scatterChart>
      <c:valAx>
        <c:axId val="55748096"/>
        <c:scaling>
          <c:orientation val="minMax"/>
          <c:max val="40"/>
        </c:scaling>
        <c:axPos val="b"/>
        <c:minorGridlines/>
        <c:title>
          <c:tx>
            <c:rich>
              <a:bodyPr/>
              <a:lstStyle/>
              <a:p>
                <a:pPr>
                  <a:defRPr/>
                </a:pPr>
                <a:r>
                  <a:rPr lang="en-US"/>
                  <a:t>max</a:t>
                </a:r>
                <a:r>
                  <a:rPr lang="az-Cyrl-AZ">
                    <a:latin typeface="Times New Roman"/>
                    <a:cs typeface="Times New Roman"/>
                  </a:rPr>
                  <a:t>бв</a:t>
                </a:r>
                <a:endParaRPr lang="en-US"/>
              </a:p>
            </c:rich>
          </c:tx>
        </c:title>
        <c:numFmt formatCode="General" sourceLinked="1"/>
        <c:majorTickMark val="none"/>
        <c:tickLblPos val="nextTo"/>
        <c:crossAx val="55750016"/>
        <c:crosses val="autoZero"/>
        <c:crossBetween val="midCat"/>
      </c:valAx>
      <c:valAx>
        <c:axId val="55750016"/>
        <c:scaling>
          <c:orientation val="minMax"/>
        </c:scaling>
        <c:axPos val="l"/>
        <c:majorGridlines/>
        <c:title>
          <c:tx>
            <c:rich>
              <a:bodyPr/>
              <a:lstStyle/>
              <a:p>
                <a:pPr>
                  <a:defRPr sz="1200">
                    <a:latin typeface="Times New Roman"/>
                    <a:cs typeface="Times New Roman"/>
                  </a:defRPr>
                </a:pPr>
                <a:r>
                  <a:rPr lang="en-US" sz="1200">
                    <a:latin typeface="Times New Roman"/>
                    <a:cs typeface="Times New Roman"/>
                  </a:rPr>
                  <a:t>τ</a:t>
                </a:r>
                <a:r>
                  <a:rPr lang="az-Cyrl-AZ" sz="1200">
                    <a:latin typeface="Times New Roman"/>
                    <a:cs typeface="Times New Roman"/>
                  </a:rPr>
                  <a:t>эф/</a:t>
                </a:r>
                <a:r>
                  <a:rPr lang="el-GR" sz="1200">
                    <a:latin typeface="Times New Roman"/>
                    <a:cs typeface="Times New Roman"/>
                  </a:rPr>
                  <a:t>τ</a:t>
                </a:r>
                <a:endParaRPr lang="en-US" sz="1200"/>
              </a:p>
            </c:rich>
          </c:tx>
        </c:title>
        <c:numFmt formatCode="General" sourceLinked="1"/>
        <c:majorTickMark val="none"/>
        <c:tickLblPos val="nextTo"/>
        <c:crossAx val="55748096"/>
        <c:crosses val="autoZero"/>
        <c:crossBetween val="midCat"/>
        <c:majorUnit val="0.1"/>
      </c:valAx>
    </c:plotArea>
    <c:legend>
      <c:legendPos val="r"/>
    </c:legend>
    <c:plotVisOnly val="1"/>
  </c:chart>
  <c:printSettings>
    <c:headerFooter/>
    <c:pageMargins b="0.75000000000000289" l="0.70000000000000062" r="0.70000000000000062" t="0.750000000000002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Sheet1!$D$168:$H$168</c:f>
              <c:numCache>
                <c:formatCode>General</c:formatCode>
                <c:ptCount val="5"/>
                <c:pt idx="0">
                  <c:v>0.1</c:v>
                </c:pt>
                <c:pt idx="1">
                  <c:v>0.2</c:v>
                </c:pt>
                <c:pt idx="2">
                  <c:v>0.3</c:v>
                </c:pt>
                <c:pt idx="3">
                  <c:v>0.4</c:v>
                </c:pt>
                <c:pt idx="4">
                  <c:v>0.5</c:v>
                </c:pt>
              </c:numCache>
            </c:numRef>
          </c:xVal>
          <c:yVal>
            <c:numRef>
              <c:f>Sheet1!$D$169:$H$169</c:f>
              <c:numCache>
                <c:formatCode>General</c:formatCode>
                <c:ptCount val="5"/>
                <c:pt idx="0">
                  <c:v>1</c:v>
                </c:pt>
                <c:pt idx="1">
                  <c:v>0.87</c:v>
                </c:pt>
                <c:pt idx="2">
                  <c:v>0.74</c:v>
                </c:pt>
                <c:pt idx="3">
                  <c:v>0.61499999999999999</c:v>
                </c:pt>
                <c:pt idx="4">
                  <c:v>0.5</c:v>
                </c:pt>
              </c:numCache>
            </c:numRef>
          </c:yVal>
          <c:smooth val="1"/>
        </c:ser>
        <c:axId val="38511360"/>
        <c:axId val="38513280"/>
      </c:scatterChart>
      <c:valAx>
        <c:axId val="38511360"/>
        <c:scaling>
          <c:orientation val="minMax"/>
        </c:scaling>
        <c:axPos val="b"/>
        <c:majorGridlines/>
        <c:minorGridlines/>
        <c:title>
          <c:txPr>
            <a:bodyPr/>
            <a:lstStyle/>
            <a:p>
              <a:pPr>
                <a:defRPr>
                  <a:latin typeface="Times New Roman"/>
                  <a:cs typeface="Times New Roman"/>
                </a:defRPr>
              </a:pPr>
              <a:endParaRPr lang="en-US"/>
            </a:p>
          </c:txPr>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8513280"/>
        <c:crosses val="autoZero"/>
        <c:crossBetween val="midCat"/>
      </c:valAx>
      <c:valAx>
        <c:axId val="38513280"/>
        <c:scaling>
          <c:orientation val="minMax"/>
        </c:scaling>
        <c:axPos val="l"/>
        <c:majorGridlines/>
        <c:min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H/</a:t>
                </a:r>
                <a:r>
                  <a:rPr lang="en-US" sz="1200">
                    <a:latin typeface="Times New Roman" pitchFamily="18" charset="0"/>
                    <a:cs typeface="Times New Roman" pitchFamily="18" charset="0"/>
                  </a:rPr>
                  <a:t>a</a:t>
                </a:r>
                <a:r>
                  <a:rPr lang="en-US">
                    <a:latin typeface="Times New Roman" pitchFamily="18" charset="0"/>
                    <a:cs typeface="Times New Roman" pitchFamily="18" charset="0"/>
                  </a:rPr>
                  <a:t>p</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8511360"/>
        <c:crosses val="autoZero"/>
        <c:crossBetween val="midCat"/>
      </c:valAx>
    </c:plotArea>
    <c:legend>
      <c:legendPos val="r"/>
    </c:legend>
    <c:plotVisOnly val="1"/>
  </c:chart>
  <c:printSettings>
    <c:headerFooter/>
    <c:pageMargins b="0.75000000000000255" l="0.70000000000000062" r="0.70000000000000062" t="0.750000000000002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a:t>
            </a:r>
            <a:r>
              <a:rPr lang="en-US"/>
              <a:t>K</a:t>
            </a:r>
            <a:r>
              <a:rPr lang="az-Cyrl-AZ">
                <a:latin typeface="Times New Roman"/>
                <a:cs typeface="Times New Roman"/>
              </a:rPr>
              <a:t>д</a:t>
            </a:r>
            <a:r>
              <a:rPr lang="en-US">
                <a:latin typeface="Times New Roman"/>
                <a:cs typeface="Times New Roman"/>
              </a:rPr>
              <a:t> </a:t>
            </a:r>
            <a:r>
              <a:rPr lang="ar-EG"/>
              <a:t>حساب</a:t>
            </a:r>
          </a:p>
        </c:rich>
      </c:tx>
    </c:title>
    <c:plotArea>
      <c:layout/>
      <c:scatterChart>
        <c:scatterStyle val="smoothMarker"/>
        <c:ser>
          <c:idx val="0"/>
          <c:order val="0"/>
          <c:tx>
            <c:v>k=3</c:v>
          </c:tx>
          <c:xVal>
            <c:numRef>
              <c:f>Sheet2!$A$1:$H$1</c:f>
              <c:numCache>
                <c:formatCode>General</c:formatCode>
                <c:ptCount val="8"/>
                <c:pt idx="0">
                  <c:v>0</c:v>
                </c:pt>
                <c:pt idx="1">
                  <c:v>1</c:v>
                </c:pt>
                <c:pt idx="2">
                  <c:v>2</c:v>
                </c:pt>
                <c:pt idx="3">
                  <c:v>4</c:v>
                </c:pt>
                <c:pt idx="4">
                  <c:v>6</c:v>
                </c:pt>
                <c:pt idx="5">
                  <c:v>8</c:v>
                </c:pt>
                <c:pt idx="6">
                  <c:v>10</c:v>
                </c:pt>
                <c:pt idx="7">
                  <c:v>12</c:v>
                </c:pt>
              </c:numCache>
            </c:numRef>
          </c:xVal>
          <c:yVal>
            <c:numRef>
              <c:f>Sheet2!$A$2:$H$2</c:f>
              <c:numCache>
                <c:formatCode>General</c:formatCode>
                <c:ptCount val="8"/>
                <c:pt idx="0">
                  <c:v>0</c:v>
                </c:pt>
                <c:pt idx="1">
                  <c:v>0.8</c:v>
                </c:pt>
                <c:pt idx="2">
                  <c:v>1.05</c:v>
                </c:pt>
                <c:pt idx="3">
                  <c:v>1</c:v>
                </c:pt>
                <c:pt idx="4">
                  <c:v>0.95</c:v>
                </c:pt>
                <c:pt idx="5">
                  <c:v>0.92</c:v>
                </c:pt>
                <c:pt idx="6">
                  <c:v>0.93</c:v>
                </c:pt>
                <c:pt idx="7">
                  <c:v>1</c:v>
                </c:pt>
              </c:numCache>
            </c:numRef>
          </c:yVal>
          <c:smooth val="1"/>
        </c:ser>
        <c:axId val="38526336"/>
        <c:axId val="54298112"/>
      </c:scatterChart>
      <c:valAx>
        <c:axId val="38526336"/>
        <c:scaling>
          <c:orientation val="minMax"/>
        </c:scaling>
        <c:axPos val="b"/>
        <c:majorGridlines/>
        <c:minorGridlines/>
        <c:title>
          <c:tx>
            <c:rich>
              <a:bodyPr/>
              <a:lstStyle/>
              <a:p>
                <a:pPr>
                  <a:defRPr>
                    <a:latin typeface="Times New Roman" pitchFamily="18" charset="0"/>
                    <a:cs typeface="Times New Roman" pitchFamily="18" charset="0"/>
                  </a:defRPr>
                </a:pPr>
                <a:r>
                  <a:rPr lang="el-GR" sz="1400">
                    <a:latin typeface="Times New Roman" pitchFamily="18" charset="0"/>
                    <a:cs typeface="Times New Roman" pitchFamily="18" charset="0"/>
                  </a:rPr>
                  <a:t>ωτ</a:t>
                </a:r>
                <a:r>
                  <a:rPr lang="az-Cyrl-AZ">
                    <a:latin typeface="Times New Roman" pitchFamily="18" charset="0"/>
                    <a:cs typeface="Times New Roman" pitchFamily="18" charset="0"/>
                  </a:rPr>
                  <a:t>н</a:t>
                </a:r>
              </a:p>
            </c:rich>
          </c:tx>
        </c:title>
        <c:numFmt formatCode="General" sourceLinked="1"/>
        <c:majorTickMark val="none"/>
        <c:tickLblPos val="nextTo"/>
        <c:txPr>
          <a:bodyPr/>
          <a:lstStyle/>
          <a:p>
            <a:pPr>
              <a:defRPr b="1" i="0" baseline="0">
                <a:latin typeface="Times New Roman" pitchFamily="18" charset="0"/>
              </a:defRPr>
            </a:pPr>
            <a:endParaRPr lang="en-US"/>
          </a:p>
        </c:txPr>
        <c:crossAx val="54298112"/>
        <c:crosses val="autoZero"/>
        <c:crossBetween val="midCat"/>
        <c:majorUnit val="1"/>
      </c:valAx>
      <c:valAx>
        <c:axId val="54298112"/>
        <c:scaling>
          <c:orientation val="minMax"/>
        </c:scaling>
        <c:axPos val="l"/>
        <c:majorGridlines/>
        <c:title>
          <c:tx>
            <c:rich>
              <a:bodyPr/>
              <a:lstStyle/>
              <a:p>
                <a:pPr>
                  <a:defRPr/>
                </a:pPr>
                <a:r>
                  <a:rPr lang="en-US"/>
                  <a:t>K</a:t>
                </a:r>
                <a:r>
                  <a:rPr lang="az-Cyrl-AZ"/>
                  <a:t>д</a:t>
                </a:r>
              </a:p>
            </c:rich>
          </c:tx>
        </c:title>
        <c:numFmt formatCode="General" sourceLinked="1"/>
        <c:majorTickMark val="none"/>
        <c:tickLblPos val="nextTo"/>
        <c:txPr>
          <a:bodyPr/>
          <a:lstStyle/>
          <a:p>
            <a:pPr>
              <a:defRPr sz="900" b="1" i="0" baseline="0">
                <a:latin typeface="Times New Roman" pitchFamily="18" charset="0"/>
              </a:defRPr>
            </a:pPr>
            <a:endParaRPr lang="en-US"/>
          </a:p>
        </c:txPr>
        <c:crossAx val="38526336"/>
        <c:crosses val="autoZero"/>
        <c:crossBetween val="midCat"/>
        <c:majorUnit val="0.1"/>
      </c:valAx>
    </c:plotArea>
    <c:legend>
      <c:legendPos val="r"/>
    </c:legend>
    <c:plotVisOnly val="1"/>
  </c:chart>
  <c:spPr>
    <a:ln w="25400" cmpd="sng"/>
  </c:spPr>
  <c:printSettings>
    <c:headerFooter/>
    <c:pageMargins b="0.75000000000000233" l="0.70000000000000062" r="0.70000000000000062" t="0.750000000000002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حساب  </a:t>
            </a:r>
            <a:r>
              <a:rPr lang="en-US"/>
              <a:t>k</a:t>
            </a:r>
            <a:r>
              <a:rPr lang="az-Cyrl-AZ">
                <a:latin typeface="Times New Roman"/>
                <a:cs typeface="Times New Roman"/>
              </a:rPr>
              <a:t>п</a:t>
            </a:r>
            <a:r>
              <a:rPr lang="en-US"/>
              <a:t>   </a:t>
            </a:r>
          </a:p>
        </c:rich>
      </c:tx>
    </c:title>
    <c:plotArea>
      <c:layout/>
      <c:scatterChart>
        <c:scatterStyle val="smoothMarker"/>
        <c:ser>
          <c:idx val="0"/>
          <c:order val="0"/>
          <c:xVal>
            <c:numRef>
              <c:f>Sheet2!$J$2:$U$2</c:f>
              <c:numCache>
                <c:formatCode>General</c:formatCode>
                <c:ptCount val="12"/>
                <c:pt idx="0">
                  <c:v>0</c:v>
                </c:pt>
                <c:pt idx="1">
                  <c:v>0.5</c:v>
                </c:pt>
                <c:pt idx="2">
                  <c:v>1</c:v>
                </c:pt>
                <c:pt idx="3">
                  <c:v>2</c:v>
                </c:pt>
                <c:pt idx="4">
                  <c:v>3</c:v>
                </c:pt>
                <c:pt idx="5">
                  <c:v>4</c:v>
                </c:pt>
                <c:pt idx="6">
                  <c:v>5</c:v>
                </c:pt>
                <c:pt idx="7">
                  <c:v>6</c:v>
                </c:pt>
                <c:pt idx="8">
                  <c:v>7</c:v>
                </c:pt>
                <c:pt idx="9">
                  <c:v>8</c:v>
                </c:pt>
                <c:pt idx="10">
                  <c:v>9</c:v>
                </c:pt>
                <c:pt idx="11">
                  <c:v>10</c:v>
                </c:pt>
              </c:numCache>
            </c:numRef>
          </c:xVal>
          <c:yVal>
            <c:numRef>
              <c:f>Sheet2!$J$3:$U$3</c:f>
              <c:numCache>
                <c:formatCode>General</c:formatCode>
                <c:ptCount val="12"/>
                <c:pt idx="0">
                  <c:v>0.5</c:v>
                </c:pt>
                <c:pt idx="1">
                  <c:v>0.7</c:v>
                </c:pt>
                <c:pt idx="2">
                  <c:v>0.81</c:v>
                </c:pt>
                <c:pt idx="3">
                  <c:v>0.9</c:v>
                </c:pt>
                <c:pt idx="4">
                  <c:v>0.92</c:v>
                </c:pt>
                <c:pt idx="5">
                  <c:v>0.94</c:v>
                </c:pt>
                <c:pt idx="6">
                  <c:v>0.95</c:v>
                </c:pt>
                <c:pt idx="7">
                  <c:v>0.95499999999999996</c:v>
                </c:pt>
                <c:pt idx="8">
                  <c:v>0.96</c:v>
                </c:pt>
                <c:pt idx="9">
                  <c:v>0.96499999999999997</c:v>
                </c:pt>
                <c:pt idx="10">
                  <c:v>0.97</c:v>
                </c:pt>
                <c:pt idx="11">
                  <c:v>0.97499999999999998</c:v>
                </c:pt>
              </c:numCache>
            </c:numRef>
          </c:yVal>
          <c:smooth val="1"/>
        </c:ser>
        <c:axId val="56577024"/>
        <c:axId val="56595584"/>
      </c:scatterChart>
      <c:valAx>
        <c:axId val="56577024"/>
        <c:scaling>
          <c:orientation val="minMax"/>
        </c:scaling>
        <c:axPos val="b"/>
        <c:majorGridlines/>
        <c:minorGridlines/>
        <c:title>
          <c:tx>
            <c:rich>
              <a:bodyPr/>
              <a:lstStyle/>
              <a:p>
                <a:pPr>
                  <a:defRPr sz="1400">
                    <a:latin typeface="Times New Roman" pitchFamily="18" charset="0"/>
                    <a:cs typeface="Times New Roman" pitchFamily="18" charset="0"/>
                  </a:defRPr>
                </a:pPr>
                <a:r>
                  <a:rPr lang="el-GR" sz="1400">
                    <a:latin typeface="Times New Roman" pitchFamily="18" charset="0"/>
                    <a:cs typeface="Times New Roman" pitchFamily="18" charset="0"/>
                  </a:rPr>
                  <a:t>λ</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6595584"/>
        <c:crosses val="autoZero"/>
        <c:crossBetween val="midCat"/>
        <c:majorUnit val="1"/>
      </c:valAx>
      <c:valAx>
        <c:axId val="56595584"/>
        <c:scaling>
          <c:orientation val="minMax"/>
        </c:scaling>
        <c:axPos val="l"/>
        <c:majorGridlines/>
        <c:minorGridlines/>
        <c:title>
          <c:tx>
            <c:rich>
              <a:bodyPr/>
              <a:lstStyle/>
              <a:p>
                <a:pPr>
                  <a:defRPr sz="1400">
                    <a:latin typeface="Times New Roman" pitchFamily="18" charset="0"/>
                    <a:cs typeface="Times New Roman" pitchFamily="18" charset="0"/>
                  </a:defRPr>
                </a:pPr>
                <a:r>
                  <a:rPr lang="en-US" sz="1400">
                    <a:latin typeface="Times New Roman" pitchFamily="18" charset="0"/>
                    <a:cs typeface="Times New Roman" pitchFamily="18" charset="0"/>
                  </a:rPr>
                  <a:t>K</a:t>
                </a:r>
                <a:r>
                  <a:rPr lang="az-Cyrl-AZ" sz="1400">
                    <a:latin typeface="Times New Roman" pitchFamily="18" charset="0"/>
                    <a:cs typeface="Times New Roman" pitchFamily="18" charset="0"/>
                  </a:rPr>
                  <a:t>п</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6577024"/>
        <c:crosses val="autoZero"/>
        <c:crossBetween val="midCat"/>
        <c:majorUnit val="0.1"/>
      </c:valAx>
    </c:plotArea>
    <c:legend>
      <c:legendPos val="r"/>
    </c:legend>
    <c:plotVisOnly val="1"/>
  </c:chart>
  <c:printSettings>
    <c:headerFooter/>
    <c:pageMargins b="0.75000000000000233" l="0.70000000000000062" r="0.70000000000000062" t="0.750000000000002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Sheet2!$A$27:$F$27</c:f>
              <c:numCache>
                <c:formatCode>General</c:formatCode>
                <c:ptCount val="6"/>
                <c:pt idx="0">
                  <c:v>0</c:v>
                </c:pt>
                <c:pt idx="1">
                  <c:v>10</c:v>
                </c:pt>
                <c:pt idx="2">
                  <c:v>20</c:v>
                </c:pt>
                <c:pt idx="3">
                  <c:v>30</c:v>
                </c:pt>
                <c:pt idx="4">
                  <c:v>40</c:v>
                </c:pt>
                <c:pt idx="5">
                  <c:v>50</c:v>
                </c:pt>
              </c:numCache>
            </c:numRef>
          </c:xVal>
          <c:yVal>
            <c:numRef>
              <c:f>Sheet2!$A$28:$F$28</c:f>
              <c:numCache>
                <c:formatCode>General</c:formatCode>
                <c:ptCount val="6"/>
                <c:pt idx="0">
                  <c:v>400</c:v>
                </c:pt>
                <c:pt idx="1">
                  <c:v>480</c:v>
                </c:pt>
                <c:pt idx="2">
                  <c:v>510</c:v>
                </c:pt>
                <c:pt idx="3">
                  <c:v>540</c:v>
                </c:pt>
                <c:pt idx="4">
                  <c:v>560</c:v>
                </c:pt>
                <c:pt idx="5">
                  <c:v>565</c:v>
                </c:pt>
              </c:numCache>
            </c:numRef>
          </c:yVal>
          <c:smooth val="1"/>
        </c:ser>
        <c:ser>
          <c:idx val="1"/>
          <c:order val="1"/>
          <c:xVal>
            <c:numRef>
              <c:f>Sheet2!$A$27:$F$27</c:f>
              <c:numCache>
                <c:formatCode>General</c:formatCode>
                <c:ptCount val="6"/>
                <c:pt idx="0">
                  <c:v>0</c:v>
                </c:pt>
                <c:pt idx="1">
                  <c:v>10</c:v>
                </c:pt>
                <c:pt idx="2">
                  <c:v>20</c:v>
                </c:pt>
                <c:pt idx="3">
                  <c:v>30</c:v>
                </c:pt>
                <c:pt idx="4">
                  <c:v>40</c:v>
                </c:pt>
                <c:pt idx="5">
                  <c:v>50</c:v>
                </c:pt>
              </c:numCache>
            </c:numRef>
          </c:xVal>
          <c:yVal>
            <c:numRef>
              <c:f>Sheet2!$A$29:$F$29</c:f>
              <c:numCache>
                <c:formatCode>General</c:formatCode>
                <c:ptCount val="6"/>
                <c:pt idx="0">
                  <c:v>600</c:v>
                </c:pt>
                <c:pt idx="1">
                  <c:v>680</c:v>
                </c:pt>
                <c:pt idx="2">
                  <c:v>710</c:v>
                </c:pt>
                <c:pt idx="3">
                  <c:v>740</c:v>
                </c:pt>
                <c:pt idx="4">
                  <c:v>760</c:v>
                </c:pt>
                <c:pt idx="5">
                  <c:v>765</c:v>
                </c:pt>
              </c:numCache>
            </c:numRef>
          </c:yVal>
          <c:smooth val="1"/>
        </c:ser>
        <c:ser>
          <c:idx val="2"/>
          <c:order val="2"/>
          <c:xVal>
            <c:numRef>
              <c:f>Sheet2!$A$27:$F$27</c:f>
              <c:numCache>
                <c:formatCode>General</c:formatCode>
                <c:ptCount val="6"/>
                <c:pt idx="0">
                  <c:v>0</c:v>
                </c:pt>
                <c:pt idx="1">
                  <c:v>10</c:v>
                </c:pt>
                <c:pt idx="2">
                  <c:v>20</c:v>
                </c:pt>
                <c:pt idx="3">
                  <c:v>30</c:v>
                </c:pt>
                <c:pt idx="4">
                  <c:v>40</c:v>
                </c:pt>
                <c:pt idx="5">
                  <c:v>50</c:v>
                </c:pt>
              </c:numCache>
            </c:numRef>
          </c:xVal>
          <c:yVal>
            <c:numRef>
              <c:f>Sheet2!$A$30:$F$30</c:f>
              <c:numCache>
                <c:formatCode>General</c:formatCode>
                <c:ptCount val="6"/>
                <c:pt idx="0">
                  <c:v>800</c:v>
                </c:pt>
                <c:pt idx="1">
                  <c:v>880</c:v>
                </c:pt>
                <c:pt idx="2">
                  <c:v>915</c:v>
                </c:pt>
                <c:pt idx="3">
                  <c:v>950</c:v>
                </c:pt>
                <c:pt idx="4">
                  <c:v>960</c:v>
                </c:pt>
                <c:pt idx="5">
                  <c:v>955</c:v>
                </c:pt>
              </c:numCache>
            </c:numRef>
          </c:yVal>
          <c:smooth val="1"/>
        </c:ser>
        <c:ser>
          <c:idx val="3"/>
          <c:order val="3"/>
          <c:xVal>
            <c:numRef>
              <c:f>Sheet2!$A$27:$F$27</c:f>
              <c:numCache>
                <c:formatCode>General</c:formatCode>
                <c:ptCount val="6"/>
                <c:pt idx="0">
                  <c:v>0</c:v>
                </c:pt>
                <c:pt idx="1">
                  <c:v>10</c:v>
                </c:pt>
                <c:pt idx="2">
                  <c:v>20</c:v>
                </c:pt>
                <c:pt idx="3">
                  <c:v>30</c:v>
                </c:pt>
                <c:pt idx="4">
                  <c:v>40</c:v>
                </c:pt>
                <c:pt idx="5">
                  <c:v>50</c:v>
                </c:pt>
              </c:numCache>
            </c:numRef>
          </c:xVal>
          <c:yVal>
            <c:numRef>
              <c:f>Sheet2!$A$31:$F$31</c:f>
              <c:numCache>
                <c:formatCode>General</c:formatCode>
                <c:ptCount val="6"/>
                <c:pt idx="0">
                  <c:v>1000</c:v>
                </c:pt>
                <c:pt idx="1">
                  <c:v>1100</c:v>
                </c:pt>
                <c:pt idx="2">
                  <c:v>1200</c:v>
                </c:pt>
                <c:pt idx="3">
                  <c:v>1245</c:v>
                </c:pt>
                <c:pt idx="4">
                  <c:v>1285</c:v>
                </c:pt>
                <c:pt idx="5">
                  <c:v>1300</c:v>
                </c:pt>
              </c:numCache>
            </c:numRef>
          </c:yVal>
          <c:smooth val="1"/>
        </c:ser>
        <c:ser>
          <c:idx val="4"/>
          <c:order val="4"/>
          <c:xVal>
            <c:numRef>
              <c:f>Sheet2!$A$27:$F$27</c:f>
              <c:numCache>
                <c:formatCode>General</c:formatCode>
                <c:ptCount val="6"/>
                <c:pt idx="0">
                  <c:v>0</c:v>
                </c:pt>
                <c:pt idx="1">
                  <c:v>10</c:v>
                </c:pt>
                <c:pt idx="2">
                  <c:v>20</c:v>
                </c:pt>
                <c:pt idx="3">
                  <c:v>30</c:v>
                </c:pt>
                <c:pt idx="4">
                  <c:v>40</c:v>
                </c:pt>
                <c:pt idx="5">
                  <c:v>50</c:v>
                </c:pt>
              </c:numCache>
            </c:numRef>
          </c:xVal>
          <c:yVal>
            <c:numRef>
              <c:f>Sheet2!$A$32:$F$32</c:f>
              <c:numCache>
                <c:formatCode>General</c:formatCode>
                <c:ptCount val="6"/>
                <c:pt idx="0">
                  <c:v>1200</c:v>
                </c:pt>
                <c:pt idx="1">
                  <c:v>1300</c:v>
                </c:pt>
                <c:pt idx="2">
                  <c:v>1400</c:v>
                </c:pt>
                <c:pt idx="3">
                  <c:v>1470</c:v>
                </c:pt>
                <c:pt idx="4">
                  <c:v>1500</c:v>
                </c:pt>
                <c:pt idx="5">
                  <c:v>1515</c:v>
                </c:pt>
              </c:numCache>
            </c:numRef>
          </c:yVal>
          <c:smooth val="1"/>
        </c:ser>
        <c:ser>
          <c:idx val="5"/>
          <c:order val="5"/>
          <c:xVal>
            <c:numRef>
              <c:f>Sheet2!$A$27:$F$27</c:f>
              <c:numCache>
                <c:formatCode>General</c:formatCode>
                <c:ptCount val="6"/>
                <c:pt idx="0">
                  <c:v>0</c:v>
                </c:pt>
                <c:pt idx="1">
                  <c:v>10</c:v>
                </c:pt>
                <c:pt idx="2">
                  <c:v>20</c:v>
                </c:pt>
                <c:pt idx="3">
                  <c:v>30</c:v>
                </c:pt>
                <c:pt idx="4">
                  <c:v>40</c:v>
                </c:pt>
                <c:pt idx="5">
                  <c:v>50</c:v>
                </c:pt>
              </c:numCache>
            </c:numRef>
          </c:xVal>
          <c:yVal>
            <c:numRef>
              <c:f>Sheet2!$A$33:$F$33</c:f>
              <c:numCache>
                <c:formatCode>General</c:formatCode>
                <c:ptCount val="6"/>
                <c:pt idx="0">
                  <c:v>1400</c:v>
                </c:pt>
                <c:pt idx="1">
                  <c:v>1500</c:v>
                </c:pt>
                <c:pt idx="2">
                  <c:v>1600</c:v>
                </c:pt>
                <c:pt idx="3">
                  <c:v>1680</c:v>
                </c:pt>
                <c:pt idx="4">
                  <c:v>1700</c:v>
                </c:pt>
                <c:pt idx="5">
                  <c:v>1695</c:v>
                </c:pt>
              </c:numCache>
            </c:numRef>
          </c:yVal>
          <c:smooth val="1"/>
        </c:ser>
        <c:ser>
          <c:idx val="6"/>
          <c:order val="6"/>
          <c:xVal>
            <c:numRef>
              <c:f>Sheet2!$A$27:$F$27</c:f>
              <c:numCache>
                <c:formatCode>General</c:formatCode>
                <c:ptCount val="6"/>
                <c:pt idx="0">
                  <c:v>0</c:v>
                </c:pt>
                <c:pt idx="1">
                  <c:v>10</c:v>
                </c:pt>
                <c:pt idx="2">
                  <c:v>20</c:v>
                </c:pt>
                <c:pt idx="3">
                  <c:v>30</c:v>
                </c:pt>
                <c:pt idx="4">
                  <c:v>40</c:v>
                </c:pt>
                <c:pt idx="5">
                  <c:v>50</c:v>
                </c:pt>
              </c:numCache>
            </c:numRef>
          </c:xVal>
          <c:yVal>
            <c:numRef>
              <c:f>Sheet2!$A$34:$F$34</c:f>
              <c:numCache>
                <c:formatCode>General</c:formatCode>
                <c:ptCount val="6"/>
                <c:pt idx="0">
                  <c:v>1600</c:v>
                </c:pt>
                <c:pt idx="1">
                  <c:v>1700</c:v>
                </c:pt>
                <c:pt idx="2">
                  <c:v>1790</c:v>
                </c:pt>
                <c:pt idx="3">
                  <c:v>1850</c:v>
                </c:pt>
                <c:pt idx="4">
                  <c:v>1900</c:v>
                </c:pt>
                <c:pt idx="5">
                  <c:v>1900</c:v>
                </c:pt>
              </c:numCache>
            </c:numRef>
          </c:yVal>
          <c:smooth val="1"/>
        </c:ser>
        <c:ser>
          <c:idx val="7"/>
          <c:order val="7"/>
          <c:xVal>
            <c:numRef>
              <c:f>Sheet2!$A$27:$F$27</c:f>
              <c:numCache>
                <c:formatCode>General</c:formatCode>
                <c:ptCount val="6"/>
                <c:pt idx="0">
                  <c:v>0</c:v>
                </c:pt>
                <c:pt idx="1">
                  <c:v>10</c:v>
                </c:pt>
                <c:pt idx="2">
                  <c:v>20</c:v>
                </c:pt>
                <c:pt idx="3">
                  <c:v>30</c:v>
                </c:pt>
                <c:pt idx="4">
                  <c:v>40</c:v>
                </c:pt>
                <c:pt idx="5">
                  <c:v>50</c:v>
                </c:pt>
              </c:numCache>
            </c:numRef>
          </c:xVal>
          <c:yVal>
            <c:numRef>
              <c:f>Sheet2!$A$35:$F$35</c:f>
              <c:numCache>
                <c:formatCode>General</c:formatCode>
                <c:ptCount val="6"/>
                <c:pt idx="0">
                  <c:v>1800</c:v>
                </c:pt>
                <c:pt idx="1">
                  <c:v>1910</c:v>
                </c:pt>
                <c:pt idx="2">
                  <c:v>2000</c:v>
                </c:pt>
                <c:pt idx="3">
                  <c:v>2070</c:v>
                </c:pt>
                <c:pt idx="4">
                  <c:v>2105</c:v>
                </c:pt>
                <c:pt idx="5">
                  <c:v>2120</c:v>
                </c:pt>
              </c:numCache>
            </c:numRef>
          </c:yVal>
          <c:smooth val="1"/>
        </c:ser>
        <c:ser>
          <c:idx val="8"/>
          <c:order val="8"/>
          <c:xVal>
            <c:numRef>
              <c:f>Sheet2!$A$27:$F$27</c:f>
              <c:numCache>
                <c:formatCode>General</c:formatCode>
                <c:ptCount val="6"/>
                <c:pt idx="0">
                  <c:v>0</c:v>
                </c:pt>
                <c:pt idx="1">
                  <c:v>10</c:v>
                </c:pt>
                <c:pt idx="2">
                  <c:v>20</c:v>
                </c:pt>
                <c:pt idx="3">
                  <c:v>30</c:v>
                </c:pt>
                <c:pt idx="4">
                  <c:v>40</c:v>
                </c:pt>
                <c:pt idx="5">
                  <c:v>50</c:v>
                </c:pt>
              </c:numCache>
            </c:numRef>
          </c:xVal>
          <c:yVal>
            <c:numRef>
              <c:f>Sheet2!$A$36:$F$36</c:f>
              <c:numCache>
                <c:formatCode>General</c:formatCode>
                <c:ptCount val="6"/>
                <c:pt idx="0">
                  <c:v>2000</c:v>
                </c:pt>
                <c:pt idx="1">
                  <c:v>2100</c:v>
                </c:pt>
                <c:pt idx="2">
                  <c:v>2180</c:v>
                </c:pt>
                <c:pt idx="3">
                  <c:v>2240</c:v>
                </c:pt>
                <c:pt idx="4">
                  <c:v>2285</c:v>
                </c:pt>
                <c:pt idx="5">
                  <c:v>2300</c:v>
                </c:pt>
              </c:numCache>
            </c:numRef>
          </c:yVal>
          <c:smooth val="1"/>
        </c:ser>
        <c:axId val="57761152"/>
        <c:axId val="57775616"/>
      </c:scatterChart>
      <c:valAx>
        <c:axId val="57761152"/>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Z,m</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7775616"/>
        <c:crosses val="autoZero"/>
        <c:crossBetween val="midCat"/>
      </c:valAx>
      <c:valAx>
        <c:axId val="57775616"/>
        <c:scaling>
          <c:orientation val="minMax"/>
        </c:scaling>
        <c:axPos val="l"/>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a</a:t>
                </a:r>
                <a:r>
                  <a:rPr lang="ar-EG" sz="900">
                    <a:latin typeface="Times New Roman" pitchFamily="18" charset="0"/>
                    <a:cs typeface="Times New Roman" pitchFamily="18" charset="0"/>
                  </a:rPr>
                  <a:t>0</a:t>
                </a:r>
                <a:r>
                  <a:rPr lang="en-US" sz="1200">
                    <a:latin typeface="Times New Roman" pitchFamily="18" charset="0"/>
                    <a:cs typeface="Times New Roman" pitchFamily="18" charset="0"/>
                  </a:rPr>
                  <a:t>(a</a:t>
                </a:r>
                <a:r>
                  <a:rPr lang="en-US" sz="900">
                    <a:latin typeface="Times New Roman" pitchFamily="18" charset="0"/>
                    <a:cs typeface="Times New Roman" pitchFamily="18" charset="0"/>
                  </a:rPr>
                  <a:t>0z</a:t>
                </a:r>
                <a:r>
                  <a:rPr lang="en-US" sz="1200">
                    <a:latin typeface="Times New Roman" pitchFamily="18" charset="0"/>
                    <a:cs typeface="Times New Roman" pitchFamily="18" charset="0"/>
                  </a:rPr>
                  <a:t>)m/s</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7761152"/>
        <c:crosses val="autoZero"/>
        <c:crossBetween val="midCat"/>
        <c:majorUnit val="100"/>
      </c:valAx>
    </c:plotArea>
    <c:plotVisOnly val="1"/>
  </c:chart>
  <c:printSettings>
    <c:headerFooter/>
    <c:pageMargins b="0.75000000000000233" l="0.70000000000000062" r="0.70000000000000062" t="0.750000000000002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Sheet2!$I$27:$N$27</c:f>
              <c:numCache>
                <c:formatCode>General</c:formatCode>
                <c:ptCount val="6"/>
                <c:pt idx="0">
                  <c:v>0</c:v>
                </c:pt>
                <c:pt idx="1">
                  <c:v>10</c:v>
                </c:pt>
                <c:pt idx="2">
                  <c:v>20</c:v>
                </c:pt>
                <c:pt idx="3">
                  <c:v>30</c:v>
                </c:pt>
                <c:pt idx="4">
                  <c:v>40</c:v>
                </c:pt>
                <c:pt idx="5">
                  <c:v>50</c:v>
                </c:pt>
              </c:numCache>
            </c:numRef>
          </c:xVal>
          <c:yVal>
            <c:numRef>
              <c:f>Sheet2!$I$28:$N$28</c:f>
              <c:numCache>
                <c:formatCode>General</c:formatCode>
                <c:ptCount val="6"/>
                <c:pt idx="0">
                  <c:v>200</c:v>
                </c:pt>
                <c:pt idx="1">
                  <c:v>250</c:v>
                </c:pt>
                <c:pt idx="2">
                  <c:v>270</c:v>
                </c:pt>
                <c:pt idx="3">
                  <c:v>290</c:v>
                </c:pt>
                <c:pt idx="4">
                  <c:v>300</c:v>
                </c:pt>
                <c:pt idx="5">
                  <c:v>305</c:v>
                </c:pt>
              </c:numCache>
            </c:numRef>
          </c:yVal>
          <c:smooth val="1"/>
        </c:ser>
        <c:ser>
          <c:idx val="1"/>
          <c:order val="1"/>
          <c:xVal>
            <c:numRef>
              <c:f>Sheet2!$I$27:$N$27</c:f>
              <c:numCache>
                <c:formatCode>General</c:formatCode>
                <c:ptCount val="6"/>
                <c:pt idx="0">
                  <c:v>0</c:v>
                </c:pt>
                <c:pt idx="1">
                  <c:v>10</c:v>
                </c:pt>
                <c:pt idx="2">
                  <c:v>20</c:v>
                </c:pt>
                <c:pt idx="3">
                  <c:v>30</c:v>
                </c:pt>
                <c:pt idx="4">
                  <c:v>40</c:v>
                </c:pt>
                <c:pt idx="5">
                  <c:v>50</c:v>
                </c:pt>
              </c:numCache>
            </c:numRef>
          </c:xVal>
          <c:yVal>
            <c:numRef>
              <c:f>Sheet2!$I$29:$N$29</c:f>
              <c:numCache>
                <c:formatCode>General</c:formatCode>
                <c:ptCount val="6"/>
                <c:pt idx="0">
                  <c:v>300</c:v>
                </c:pt>
                <c:pt idx="1">
                  <c:v>350</c:v>
                </c:pt>
                <c:pt idx="2">
                  <c:v>370</c:v>
                </c:pt>
                <c:pt idx="3">
                  <c:v>400</c:v>
                </c:pt>
                <c:pt idx="4">
                  <c:v>420</c:v>
                </c:pt>
                <c:pt idx="5">
                  <c:v>430</c:v>
                </c:pt>
              </c:numCache>
            </c:numRef>
          </c:yVal>
          <c:smooth val="1"/>
        </c:ser>
        <c:ser>
          <c:idx val="2"/>
          <c:order val="2"/>
          <c:xVal>
            <c:numRef>
              <c:f>Sheet2!$I$27:$N$27</c:f>
              <c:numCache>
                <c:formatCode>General</c:formatCode>
                <c:ptCount val="6"/>
                <c:pt idx="0">
                  <c:v>0</c:v>
                </c:pt>
                <c:pt idx="1">
                  <c:v>10</c:v>
                </c:pt>
                <c:pt idx="2">
                  <c:v>20</c:v>
                </c:pt>
                <c:pt idx="3">
                  <c:v>30</c:v>
                </c:pt>
                <c:pt idx="4">
                  <c:v>40</c:v>
                </c:pt>
                <c:pt idx="5">
                  <c:v>50</c:v>
                </c:pt>
              </c:numCache>
            </c:numRef>
          </c:xVal>
          <c:yVal>
            <c:numRef>
              <c:f>Sheet2!$I$30:$N$30</c:f>
              <c:numCache>
                <c:formatCode>General</c:formatCode>
                <c:ptCount val="6"/>
                <c:pt idx="0">
                  <c:v>400</c:v>
                </c:pt>
                <c:pt idx="1">
                  <c:v>450</c:v>
                </c:pt>
                <c:pt idx="2">
                  <c:v>480</c:v>
                </c:pt>
                <c:pt idx="3">
                  <c:v>510</c:v>
                </c:pt>
                <c:pt idx="4">
                  <c:v>530</c:v>
                </c:pt>
                <c:pt idx="5">
                  <c:v>540</c:v>
                </c:pt>
              </c:numCache>
            </c:numRef>
          </c:yVal>
          <c:smooth val="1"/>
        </c:ser>
        <c:ser>
          <c:idx val="3"/>
          <c:order val="3"/>
          <c:xVal>
            <c:numRef>
              <c:f>Sheet2!$I$27:$N$27</c:f>
              <c:numCache>
                <c:formatCode>General</c:formatCode>
                <c:ptCount val="6"/>
                <c:pt idx="0">
                  <c:v>0</c:v>
                </c:pt>
                <c:pt idx="1">
                  <c:v>10</c:v>
                </c:pt>
                <c:pt idx="2">
                  <c:v>20</c:v>
                </c:pt>
                <c:pt idx="3">
                  <c:v>30</c:v>
                </c:pt>
                <c:pt idx="4">
                  <c:v>40</c:v>
                </c:pt>
                <c:pt idx="5">
                  <c:v>50</c:v>
                </c:pt>
              </c:numCache>
            </c:numRef>
          </c:xVal>
          <c:yVal>
            <c:numRef>
              <c:f>Sheet2!$I$31:$N$31</c:f>
              <c:numCache>
                <c:formatCode>General</c:formatCode>
                <c:ptCount val="6"/>
                <c:pt idx="0">
                  <c:v>500</c:v>
                </c:pt>
                <c:pt idx="1">
                  <c:v>575</c:v>
                </c:pt>
                <c:pt idx="2">
                  <c:v>640</c:v>
                </c:pt>
                <c:pt idx="3">
                  <c:v>680</c:v>
                </c:pt>
                <c:pt idx="4">
                  <c:v>720</c:v>
                </c:pt>
                <c:pt idx="5">
                  <c:v>750</c:v>
                </c:pt>
              </c:numCache>
            </c:numRef>
          </c:yVal>
          <c:smooth val="1"/>
        </c:ser>
        <c:ser>
          <c:idx val="4"/>
          <c:order val="4"/>
          <c:xVal>
            <c:numRef>
              <c:f>Sheet2!$I$27:$N$27</c:f>
              <c:numCache>
                <c:formatCode>General</c:formatCode>
                <c:ptCount val="6"/>
                <c:pt idx="0">
                  <c:v>0</c:v>
                </c:pt>
                <c:pt idx="1">
                  <c:v>10</c:v>
                </c:pt>
                <c:pt idx="2">
                  <c:v>20</c:v>
                </c:pt>
                <c:pt idx="3">
                  <c:v>30</c:v>
                </c:pt>
                <c:pt idx="4">
                  <c:v>40</c:v>
                </c:pt>
                <c:pt idx="5">
                  <c:v>50</c:v>
                </c:pt>
              </c:numCache>
            </c:numRef>
          </c:xVal>
          <c:yVal>
            <c:numRef>
              <c:f>Sheet2!$I$32:$N$32</c:f>
              <c:numCache>
                <c:formatCode>General</c:formatCode>
                <c:ptCount val="6"/>
                <c:pt idx="0">
                  <c:v>600</c:v>
                </c:pt>
                <c:pt idx="1">
                  <c:v>700</c:v>
                </c:pt>
                <c:pt idx="2">
                  <c:v>750</c:v>
                </c:pt>
                <c:pt idx="3">
                  <c:v>800</c:v>
                </c:pt>
                <c:pt idx="4">
                  <c:v>840</c:v>
                </c:pt>
                <c:pt idx="5">
                  <c:v>855</c:v>
                </c:pt>
              </c:numCache>
            </c:numRef>
          </c:yVal>
          <c:smooth val="1"/>
        </c:ser>
        <c:ser>
          <c:idx val="5"/>
          <c:order val="5"/>
          <c:xVal>
            <c:numRef>
              <c:f>Sheet2!$I$27:$N$27</c:f>
              <c:numCache>
                <c:formatCode>General</c:formatCode>
                <c:ptCount val="6"/>
                <c:pt idx="0">
                  <c:v>0</c:v>
                </c:pt>
                <c:pt idx="1">
                  <c:v>10</c:v>
                </c:pt>
                <c:pt idx="2">
                  <c:v>20</c:v>
                </c:pt>
                <c:pt idx="3">
                  <c:v>30</c:v>
                </c:pt>
                <c:pt idx="4">
                  <c:v>40</c:v>
                </c:pt>
                <c:pt idx="5">
                  <c:v>50</c:v>
                </c:pt>
              </c:numCache>
            </c:numRef>
          </c:xVal>
          <c:yVal>
            <c:numRef>
              <c:f>Sheet2!$I$33:$N$33</c:f>
              <c:numCache>
                <c:formatCode>General</c:formatCode>
                <c:ptCount val="6"/>
                <c:pt idx="0">
                  <c:v>700</c:v>
                </c:pt>
                <c:pt idx="1">
                  <c:v>780</c:v>
                </c:pt>
                <c:pt idx="2">
                  <c:v>840</c:v>
                </c:pt>
                <c:pt idx="3">
                  <c:v>875</c:v>
                </c:pt>
                <c:pt idx="4">
                  <c:v>905</c:v>
                </c:pt>
                <c:pt idx="5">
                  <c:v>935</c:v>
                </c:pt>
              </c:numCache>
            </c:numRef>
          </c:yVal>
          <c:smooth val="1"/>
        </c:ser>
        <c:ser>
          <c:idx val="6"/>
          <c:order val="6"/>
          <c:xVal>
            <c:numRef>
              <c:f>Sheet2!$I$27:$N$27</c:f>
              <c:numCache>
                <c:formatCode>General</c:formatCode>
                <c:ptCount val="6"/>
                <c:pt idx="0">
                  <c:v>0</c:v>
                </c:pt>
                <c:pt idx="1">
                  <c:v>10</c:v>
                </c:pt>
                <c:pt idx="2">
                  <c:v>20</c:v>
                </c:pt>
                <c:pt idx="3">
                  <c:v>30</c:v>
                </c:pt>
                <c:pt idx="4">
                  <c:v>40</c:v>
                </c:pt>
                <c:pt idx="5">
                  <c:v>50</c:v>
                </c:pt>
              </c:numCache>
            </c:numRef>
          </c:xVal>
          <c:yVal>
            <c:numRef>
              <c:f>Sheet2!$I$34:$N$34</c:f>
              <c:numCache>
                <c:formatCode>General</c:formatCode>
                <c:ptCount val="6"/>
                <c:pt idx="0">
                  <c:v>800</c:v>
                </c:pt>
                <c:pt idx="1">
                  <c:v>880</c:v>
                </c:pt>
                <c:pt idx="2">
                  <c:v>940</c:v>
                </c:pt>
                <c:pt idx="3">
                  <c:v>975</c:v>
                </c:pt>
                <c:pt idx="4">
                  <c:v>1010</c:v>
                </c:pt>
                <c:pt idx="5">
                  <c:v>1045</c:v>
                </c:pt>
              </c:numCache>
            </c:numRef>
          </c:yVal>
          <c:smooth val="1"/>
        </c:ser>
        <c:ser>
          <c:idx val="7"/>
          <c:order val="7"/>
          <c:xVal>
            <c:numRef>
              <c:f>Sheet2!$I$27:$N$27</c:f>
              <c:numCache>
                <c:formatCode>General</c:formatCode>
                <c:ptCount val="6"/>
                <c:pt idx="0">
                  <c:v>0</c:v>
                </c:pt>
                <c:pt idx="1">
                  <c:v>10</c:v>
                </c:pt>
                <c:pt idx="2">
                  <c:v>20</c:v>
                </c:pt>
                <c:pt idx="3">
                  <c:v>30</c:v>
                </c:pt>
                <c:pt idx="4">
                  <c:v>40</c:v>
                </c:pt>
                <c:pt idx="5">
                  <c:v>50</c:v>
                </c:pt>
              </c:numCache>
            </c:numRef>
          </c:xVal>
          <c:yVal>
            <c:numRef>
              <c:f>Sheet2!$I$35:$N$35</c:f>
              <c:numCache>
                <c:formatCode>General</c:formatCode>
                <c:ptCount val="6"/>
                <c:pt idx="0">
                  <c:v>900</c:v>
                </c:pt>
                <c:pt idx="1">
                  <c:v>980</c:v>
                </c:pt>
                <c:pt idx="2">
                  <c:v>1050</c:v>
                </c:pt>
                <c:pt idx="3">
                  <c:v>1100</c:v>
                </c:pt>
                <c:pt idx="4">
                  <c:v>1140</c:v>
                </c:pt>
                <c:pt idx="5">
                  <c:v>1160</c:v>
                </c:pt>
              </c:numCache>
            </c:numRef>
          </c:yVal>
          <c:smooth val="1"/>
        </c:ser>
        <c:ser>
          <c:idx val="8"/>
          <c:order val="8"/>
          <c:xVal>
            <c:numRef>
              <c:f>Sheet2!$I$27:$N$27</c:f>
              <c:numCache>
                <c:formatCode>General</c:formatCode>
                <c:ptCount val="6"/>
                <c:pt idx="0">
                  <c:v>0</c:v>
                </c:pt>
                <c:pt idx="1">
                  <c:v>10</c:v>
                </c:pt>
                <c:pt idx="2">
                  <c:v>20</c:v>
                </c:pt>
                <c:pt idx="3">
                  <c:v>30</c:v>
                </c:pt>
                <c:pt idx="4">
                  <c:v>40</c:v>
                </c:pt>
                <c:pt idx="5">
                  <c:v>50</c:v>
                </c:pt>
              </c:numCache>
            </c:numRef>
          </c:xVal>
          <c:yVal>
            <c:numRef>
              <c:f>Sheet2!$I$36:$N$36</c:f>
              <c:numCache>
                <c:formatCode>General</c:formatCode>
                <c:ptCount val="6"/>
                <c:pt idx="0">
                  <c:v>1000</c:v>
                </c:pt>
                <c:pt idx="1">
                  <c:v>1080</c:v>
                </c:pt>
                <c:pt idx="2">
                  <c:v>1140</c:v>
                </c:pt>
                <c:pt idx="3">
                  <c:v>1200</c:v>
                </c:pt>
                <c:pt idx="4">
                  <c:v>1240</c:v>
                </c:pt>
                <c:pt idx="5">
                  <c:v>1260</c:v>
                </c:pt>
              </c:numCache>
            </c:numRef>
          </c:yVal>
          <c:smooth val="1"/>
        </c:ser>
        <c:ser>
          <c:idx val="9"/>
          <c:order val="9"/>
          <c:xVal>
            <c:numRef>
              <c:f>Sheet2!$I$27:$N$27</c:f>
              <c:numCache>
                <c:formatCode>General</c:formatCode>
                <c:ptCount val="6"/>
                <c:pt idx="0">
                  <c:v>0</c:v>
                </c:pt>
                <c:pt idx="1">
                  <c:v>10</c:v>
                </c:pt>
                <c:pt idx="2">
                  <c:v>20</c:v>
                </c:pt>
                <c:pt idx="3">
                  <c:v>30</c:v>
                </c:pt>
                <c:pt idx="4">
                  <c:v>40</c:v>
                </c:pt>
                <c:pt idx="5">
                  <c:v>50</c:v>
                </c:pt>
              </c:numCache>
            </c:numRef>
          </c:xVal>
          <c:yVal>
            <c:numRef>
              <c:f>Sheet2!$I$37:$N$37</c:f>
              <c:numCache>
                <c:formatCode>General</c:formatCode>
                <c:ptCount val="6"/>
                <c:pt idx="0">
                  <c:v>100</c:v>
                </c:pt>
                <c:pt idx="1">
                  <c:v>140</c:v>
                </c:pt>
                <c:pt idx="2">
                  <c:v>170</c:v>
                </c:pt>
                <c:pt idx="3">
                  <c:v>185</c:v>
                </c:pt>
                <c:pt idx="4">
                  <c:v>200</c:v>
                </c:pt>
                <c:pt idx="5">
                  <c:v>210</c:v>
                </c:pt>
              </c:numCache>
            </c:numRef>
          </c:yVal>
          <c:smooth val="1"/>
        </c:ser>
        <c:axId val="57820672"/>
        <c:axId val="57822592"/>
      </c:scatterChart>
      <c:valAx>
        <c:axId val="57820672"/>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 m</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7822592"/>
        <c:crosses val="autoZero"/>
        <c:crossBetween val="midCat"/>
      </c:valAx>
      <c:valAx>
        <c:axId val="57822592"/>
        <c:scaling>
          <c:orientation val="minMax"/>
        </c:scaling>
        <c:axPos val="l"/>
        <c:majorGridlines/>
        <c:min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a1(a1z)m/s</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7820672"/>
        <c:crosses val="autoZero"/>
        <c:crossBetween val="midCat"/>
        <c:majorUnit val="100"/>
      </c:valAx>
    </c:plotArea>
    <c:plotVisOnly val="1"/>
  </c:chart>
  <c:printSettings>
    <c:headerFooter/>
    <c:pageMargins b="0.75000000000000089" l="0.70000000000000062" r="0.70000000000000062" t="0.750000000000000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Sheet2!$A$27:$F$27</c:f>
              <c:numCache>
                <c:formatCode>General</c:formatCode>
                <c:ptCount val="6"/>
                <c:pt idx="0">
                  <c:v>0</c:v>
                </c:pt>
                <c:pt idx="1">
                  <c:v>10</c:v>
                </c:pt>
                <c:pt idx="2">
                  <c:v>20</c:v>
                </c:pt>
                <c:pt idx="3">
                  <c:v>30</c:v>
                </c:pt>
                <c:pt idx="4">
                  <c:v>40</c:v>
                </c:pt>
                <c:pt idx="5">
                  <c:v>50</c:v>
                </c:pt>
              </c:numCache>
            </c:numRef>
          </c:xVal>
          <c:yVal>
            <c:numRef>
              <c:f>Sheet2!$A$28:$F$28</c:f>
              <c:numCache>
                <c:formatCode>General</c:formatCode>
                <c:ptCount val="6"/>
                <c:pt idx="0">
                  <c:v>400</c:v>
                </c:pt>
                <c:pt idx="1">
                  <c:v>480</c:v>
                </c:pt>
                <c:pt idx="2">
                  <c:v>510</c:v>
                </c:pt>
                <c:pt idx="3">
                  <c:v>540</c:v>
                </c:pt>
                <c:pt idx="4">
                  <c:v>560</c:v>
                </c:pt>
                <c:pt idx="5">
                  <c:v>565</c:v>
                </c:pt>
              </c:numCache>
            </c:numRef>
          </c:yVal>
          <c:smooth val="1"/>
        </c:ser>
        <c:ser>
          <c:idx val="1"/>
          <c:order val="1"/>
          <c:xVal>
            <c:numRef>
              <c:f>Sheet2!$A$27:$F$27</c:f>
              <c:numCache>
                <c:formatCode>General</c:formatCode>
                <c:ptCount val="6"/>
                <c:pt idx="0">
                  <c:v>0</c:v>
                </c:pt>
                <c:pt idx="1">
                  <c:v>10</c:v>
                </c:pt>
                <c:pt idx="2">
                  <c:v>20</c:v>
                </c:pt>
                <c:pt idx="3">
                  <c:v>30</c:v>
                </c:pt>
                <c:pt idx="4">
                  <c:v>40</c:v>
                </c:pt>
                <c:pt idx="5">
                  <c:v>50</c:v>
                </c:pt>
              </c:numCache>
            </c:numRef>
          </c:xVal>
          <c:yVal>
            <c:numRef>
              <c:f>Sheet2!$A$29:$F$29</c:f>
              <c:numCache>
                <c:formatCode>General</c:formatCode>
                <c:ptCount val="6"/>
                <c:pt idx="0">
                  <c:v>600</c:v>
                </c:pt>
                <c:pt idx="1">
                  <c:v>680</c:v>
                </c:pt>
                <c:pt idx="2">
                  <c:v>710</c:v>
                </c:pt>
                <c:pt idx="3">
                  <c:v>740</c:v>
                </c:pt>
                <c:pt idx="4">
                  <c:v>760</c:v>
                </c:pt>
                <c:pt idx="5">
                  <c:v>765</c:v>
                </c:pt>
              </c:numCache>
            </c:numRef>
          </c:yVal>
          <c:smooth val="1"/>
        </c:ser>
        <c:ser>
          <c:idx val="2"/>
          <c:order val="2"/>
          <c:xVal>
            <c:numRef>
              <c:f>Sheet2!$A$27:$F$27</c:f>
              <c:numCache>
                <c:formatCode>General</c:formatCode>
                <c:ptCount val="6"/>
                <c:pt idx="0">
                  <c:v>0</c:v>
                </c:pt>
                <c:pt idx="1">
                  <c:v>10</c:v>
                </c:pt>
                <c:pt idx="2">
                  <c:v>20</c:v>
                </c:pt>
                <c:pt idx="3">
                  <c:v>30</c:v>
                </c:pt>
                <c:pt idx="4">
                  <c:v>40</c:v>
                </c:pt>
                <c:pt idx="5">
                  <c:v>50</c:v>
                </c:pt>
              </c:numCache>
            </c:numRef>
          </c:xVal>
          <c:yVal>
            <c:numRef>
              <c:f>Sheet2!$A$30:$F$30</c:f>
              <c:numCache>
                <c:formatCode>General</c:formatCode>
                <c:ptCount val="6"/>
                <c:pt idx="0">
                  <c:v>800</c:v>
                </c:pt>
                <c:pt idx="1">
                  <c:v>880</c:v>
                </c:pt>
                <c:pt idx="2">
                  <c:v>915</c:v>
                </c:pt>
                <c:pt idx="3">
                  <c:v>950</c:v>
                </c:pt>
                <c:pt idx="4">
                  <c:v>960</c:v>
                </c:pt>
                <c:pt idx="5">
                  <c:v>955</c:v>
                </c:pt>
              </c:numCache>
            </c:numRef>
          </c:yVal>
          <c:smooth val="1"/>
        </c:ser>
        <c:ser>
          <c:idx val="3"/>
          <c:order val="3"/>
          <c:xVal>
            <c:numRef>
              <c:f>Sheet2!$A$27:$F$27</c:f>
              <c:numCache>
                <c:formatCode>General</c:formatCode>
                <c:ptCount val="6"/>
                <c:pt idx="0">
                  <c:v>0</c:v>
                </c:pt>
                <c:pt idx="1">
                  <c:v>10</c:v>
                </c:pt>
                <c:pt idx="2">
                  <c:v>20</c:v>
                </c:pt>
                <c:pt idx="3">
                  <c:v>30</c:v>
                </c:pt>
                <c:pt idx="4">
                  <c:v>40</c:v>
                </c:pt>
                <c:pt idx="5">
                  <c:v>50</c:v>
                </c:pt>
              </c:numCache>
            </c:numRef>
          </c:xVal>
          <c:yVal>
            <c:numRef>
              <c:f>Sheet2!$A$31:$F$31</c:f>
              <c:numCache>
                <c:formatCode>General</c:formatCode>
                <c:ptCount val="6"/>
                <c:pt idx="0">
                  <c:v>1000</c:v>
                </c:pt>
                <c:pt idx="1">
                  <c:v>1100</c:v>
                </c:pt>
                <c:pt idx="2">
                  <c:v>1200</c:v>
                </c:pt>
                <c:pt idx="3">
                  <c:v>1245</c:v>
                </c:pt>
                <c:pt idx="4">
                  <c:v>1285</c:v>
                </c:pt>
                <c:pt idx="5">
                  <c:v>1300</c:v>
                </c:pt>
              </c:numCache>
            </c:numRef>
          </c:yVal>
          <c:smooth val="1"/>
        </c:ser>
        <c:ser>
          <c:idx val="4"/>
          <c:order val="4"/>
          <c:xVal>
            <c:numRef>
              <c:f>Sheet2!$A$27:$F$27</c:f>
              <c:numCache>
                <c:formatCode>General</c:formatCode>
                <c:ptCount val="6"/>
                <c:pt idx="0">
                  <c:v>0</c:v>
                </c:pt>
                <c:pt idx="1">
                  <c:v>10</c:v>
                </c:pt>
                <c:pt idx="2">
                  <c:v>20</c:v>
                </c:pt>
                <c:pt idx="3">
                  <c:v>30</c:v>
                </c:pt>
                <c:pt idx="4">
                  <c:v>40</c:v>
                </c:pt>
                <c:pt idx="5">
                  <c:v>50</c:v>
                </c:pt>
              </c:numCache>
            </c:numRef>
          </c:xVal>
          <c:yVal>
            <c:numRef>
              <c:f>Sheet2!$A$32:$F$32</c:f>
              <c:numCache>
                <c:formatCode>General</c:formatCode>
                <c:ptCount val="6"/>
                <c:pt idx="0">
                  <c:v>1200</c:v>
                </c:pt>
                <c:pt idx="1">
                  <c:v>1300</c:v>
                </c:pt>
                <c:pt idx="2">
                  <c:v>1400</c:v>
                </c:pt>
                <c:pt idx="3">
                  <c:v>1470</c:v>
                </c:pt>
                <c:pt idx="4">
                  <c:v>1500</c:v>
                </c:pt>
                <c:pt idx="5">
                  <c:v>1515</c:v>
                </c:pt>
              </c:numCache>
            </c:numRef>
          </c:yVal>
          <c:smooth val="1"/>
        </c:ser>
        <c:ser>
          <c:idx val="5"/>
          <c:order val="5"/>
          <c:xVal>
            <c:numRef>
              <c:f>Sheet2!$A$27:$F$27</c:f>
              <c:numCache>
                <c:formatCode>General</c:formatCode>
                <c:ptCount val="6"/>
                <c:pt idx="0">
                  <c:v>0</c:v>
                </c:pt>
                <c:pt idx="1">
                  <c:v>10</c:v>
                </c:pt>
                <c:pt idx="2">
                  <c:v>20</c:v>
                </c:pt>
                <c:pt idx="3">
                  <c:v>30</c:v>
                </c:pt>
                <c:pt idx="4">
                  <c:v>40</c:v>
                </c:pt>
                <c:pt idx="5">
                  <c:v>50</c:v>
                </c:pt>
              </c:numCache>
            </c:numRef>
          </c:xVal>
          <c:yVal>
            <c:numRef>
              <c:f>Sheet2!$A$33:$F$33</c:f>
              <c:numCache>
                <c:formatCode>General</c:formatCode>
                <c:ptCount val="6"/>
                <c:pt idx="0">
                  <c:v>1400</c:v>
                </c:pt>
                <c:pt idx="1">
                  <c:v>1500</c:v>
                </c:pt>
                <c:pt idx="2">
                  <c:v>1600</c:v>
                </c:pt>
                <c:pt idx="3">
                  <c:v>1680</c:v>
                </c:pt>
                <c:pt idx="4">
                  <c:v>1700</c:v>
                </c:pt>
                <c:pt idx="5">
                  <c:v>1695</c:v>
                </c:pt>
              </c:numCache>
            </c:numRef>
          </c:yVal>
          <c:smooth val="1"/>
        </c:ser>
        <c:ser>
          <c:idx val="6"/>
          <c:order val="6"/>
          <c:xVal>
            <c:numRef>
              <c:f>Sheet2!$A$27:$F$27</c:f>
              <c:numCache>
                <c:formatCode>General</c:formatCode>
                <c:ptCount val="6"/>
                <c:pt idx="0">
                  <c:v>0</c:v>
                </c:pt>
                <c:pt idx="1">
                  <c:v>10</c:v>
                </c:pt>
                <c:pt idx="2">
                  <c:v>20</c:v>
                </c:pt>
                <c:pt idx="3">
                  <c:v>30</c:v>
                </c:pt>
                <c:pt idx="4">
                  <c:v>40</c:v>
                </c:pt>
                <c:pt idx="5">
                  <c:v>50</c:v>
                </c:pt>
              </c:numCache>
            </c:numRef>
          </c:xVal>
          <c:yVal>
            <c:numRef>
              <c:f>Sheet2!$A$34:$F$34</c:f>
              <c:numCache>
                <c:formatCode>General</c:formatCode>
                <c:ptCount val="6"/>
                <c:pt idx="0">
                  <c:v>1600</c:v>
                </c:pt>
                <c:pt idx="1">
                  <c:v>1700</c:v>
                </c:pt>
                <c:pt idx="2">
                  <c:v>1790</c:v>
                </c:pt>
                <c:pt idx="3">
                  <c:v>1850</c:v>
                </c:pt>
                <c:pt idx="4">
                  <c:v>1900</c:v>
                </c:pt>
                <c:pt idx="5">
                  <c:v>1900</c:v>
                </c:pt>
              </c:numCache>
            </c:numRef>
          </c:yVal>
          <c:smooth val="1"/>
        </c:ser>
        <c:ser>
          <c:idx val="7"/>
          <c:order val="7"/>
          <c:xVal>
            <c:numRef>
              <c:f>Sheet2!$A$27:$F$27</c:f>
              <c:numCache>
                <c:formatCode>General</c:formatCode>
                <c:ptCount val="6"/>
                <c:pt idx="0">
                  <c:v>0</c:v>
                </c:pt>
                <c:pt idx="1">
                  <c:v>10</c:v>
                </c:pt>
                <c:pt idx="2">
                  <c:v>20</c:v>
                </c:pt>
                <c:pt idx="3">
                  <c:v>30</c:v>
                </c:pt>
                <c:pt idx="4">
                  <c:v>40</c:v>
                </c:pt>
                <c:pt idx="5">
                  <c:v>50</c:v>
                </c:pt>
              </c:numCache>
            </c:numRef>
          </c:xVal>
          <c:yVal>
            <c:numRef>
              <c:f>Sheet2!$A$35:$F$35</c:f>
              <c:numCache>
                <c:formatCode>General</c:formatCode>
                <c:ptCount val="6"/>
                <c:pt idx="0">
                  <c:v>1800</c:v>
                </c:pt>
                <c:pt idx="1">
                  <c:v>1910</c:v>
                </c:pt>
                <c:pt idx="2">
                  <c:v>2000</c:v>
                </c:pt>
                <c:pt idx="3">
                  <c:v>2070</c:v>
                </c:pt>
                <c:pt idx="4">
                  <c:v>2105</c:v>
                </c:pt>
                <c:pt idx="5">
                  <c:v>2120</c:v>
                </c:pt>
              </c:numCache>
            </c:numRef>
          </c:yVal>
          <c:smooth val="1"/>
        </c:ser>
        <c:ser>
          <c:idx val="8"/>
          <c:order val="8"/>
          <c:xVal>
            <c:numRef>
              <c:f>Sheet2!$A$27:$F$27</c:f>
              <c:numCache>
                <c:formatCode>General</c:formatCode>
                <c:ptCount val="6"/>
                <c:pt idx="0">
                  <c:v>0</c:v>
                </c:pt>
                <c:pt idx="1">
                  <c:v>10</c:v>
                </c:pt>
                <c:pt idx="2">
                  <c:v>20</c:v>
                </c:pt>
                <c:pt idx="3">
                  <c:v>30</c:v>
                </c:pt>
                <c:pt idx="4">
                  <c:v>40</c:v>
                </c:pt>
                <c:pt idx="5">
                  <c:v>50</c:v>
                </c:pt>
              </c:numCache>
            </c:numRef>
          </c:xVal>
          <c:yVal>
            <c:numRef>
              <c:f>Sheet2!$A$36:$F$36</c:f>
              <c:numCache>
                <c:formatCode>General</c:formatCode>
                <c:ptCount val="6"/>
                <c:pt idx="0">
                  <c:v>2000</c:v>
                </c:pt>
                <c:pt idx="1">
                  <c:v>2100</c:v>
                </c:pt>
                <c:pt idx="2">
                  <c:v>2180</c:v>
                </c:pt>
                <c:pt idx="3">
                  <c:v>2240</c:v>
                </c:pt>
                <c:pt idx="4">
                  <c:v>2285</c:v>
                </c:pt>
                <c:pt idx="5">
                  <c:v>2300</c:v>
                </c:pt>
              </c:numCache>
            </c:numRef>
          </c:yVal>
          <c:smooth val="1"/>
        </c:ser>
        <c:axId val="38414976"/>
        <c:axId val="38425344"/>
      </c:scatterChart>
      <c:valAx>
        <c:axId val="38414976"/>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Z,m</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8425344"/>
        <c:crosses val="autoZero"/>
        <c:crossBetween val="midCat"/>
      </c:valAx>
      <c:valAx>
        <c:axId val="38425344"/>
        <c:scaling>
          <c:orientation val="minMax"/>
        </c:scaling>
        <c:axPos val="l"/>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a</a:t>
                </a:r>
                <a:r>
                  <a:rPr lang="ar-EG" sz="900">
                    <a:latin typeface="Times New Roman" pitchFamily="18" charset="0"/>
                    <a:cs typeface="Times New Roman" pitchFamily="18" charset="0"/>
                  </a:rPr>
                  <a:t>0</a:t>
                </a:r>
                <a:r>
                  <a:rPr lang="en-US" sz="1200">
                    <a:latin typeface="Times New Roman" pitchFamily="18" charset="0"/>
                    <a:cs typeface="Times New Roman" pitchFamily="18" charset="0"/>
                  </a:rPr>
                  <a:t>(a</a:t>
                </a:r>
                <a:r>
                  <a:rPr lang="en-US" sz="900">
                    <a:latin typeface="Times New Roman" pitchFamily="18" charset="0"/>
                    <a:cs typeface="Times New Roman" pitchFamily="18" charset="0"/>
                  </a:rPr>
                  <a:t>0z</a:t>
                </a:r>
                <a:r>
                  <a:rPr lang="en-US" sz="1200">
                    <a:latin typeface="Times New Roman" pitchFamily="18" charset="0"/>
                    <a:cs typeface="Times New Roman" pitchFamily="18" charset="0"/>
                  </a:rPr>
                  <a:t>)m/s</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8414976"/>
        <c:crosses val="autoZero"/>
        <c:crossBetween val="midCat"/>
        <c:majorUnit val="100"/>
      </c:valAx>
    </c:plotArea>
    <c:plotVisOnly val="1"/>
  </c:chart>
  <c:printSettings>
    <c:headerFooter/>
    <c:pageMargins b="0.75000000000000255" l="0.70000000000000062" r="0.70000000000000062" t="0.750000000000002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Sheet2!$I$27:$N$27</c:f>
              <c:numCache>
                <c:formatCode>General</c:formatCode>
                <c:ptCount val="6"/>
                <c:pt idx="0">
                  <c:v>0</c:v>
                </c:pt>
                <c:pt idx="1">
                  <c:v>10</c:v>
                </c:pt>
                <c:pt idx="2">
                  <c:v>20</c:v>
                </c:pt>
                <c:pt idx="3">
                  <c:v>30</c:v>
                </c:pt>
                <c:pt idx="4">
                  <c:v>40</c:v>
                </c:pt>
                <c:pt idx="5">
                  <c:v>50</c:v>
                </c:pt>
              </c:numCache>
            </c:numRef>
          </c:xVal>
          <c:yVal>
            <c:numRef>
              <c:f>Sheet2!$I$28:$N$28</c:f>
              <c:numCache>
                <c:formatCode>General</c:formatCode>
                <c:ptCount val="6"/>
                <c:pt idx="0">
                  <c:v>200</c:v>
                </c:pt>
                <c:pt idx="1">
                  <c:v>250</c:v>
                </c:pt>
                <c:pt idx="2">
                  <c:v>270</c:v>
                </c:pt>
                <c:pt idx="3">
                  <c:v>290</c:v>
                </c:pt>
                <c:pt idx="4">
                  <c:v>300</c:v>
                </c:pt>
                <c:pt idx="5">
                  <c:v>305</c:v>
                </c:pt>
              </c:numCache>
            </c:numRef>
          </c:yVal>
          <c:smooth val="1"/>
        </c:ser>
        <c:ser>
          <c:idx val="1"/>
          <c:order val="1"/>
          <c:xVal>
            <c:numRef>
              <c:f>Sheet2!$I$27:$N$27</c:f>
              <c:numCache>
                <c:formatCode>General</c:formatCode>
                <c:ptCount val="6"/>
                <c:pt idx="0">
                  <c:v>0</c:v>
                </c:pt>
                <c:pt idx="1">
                  <c:v>10</c:v>
                </c:pt>
                <c:pt idx="2">
                  <c:v>20</c:v>
                </c:pt>
                <c:pt idx="3">
                  <c:v>30</c:v>
                </c:pt>
                <c:pt idx="4">
                  <c:v>40</c:v>
                </c:pt>
                <c:pt idx="5">
                  <c:v>50</c:v>
                </c:pt>
              </c:numCache>
            </c:numRef>
          </c:xVal>
          <c:yVal>
            <c:numRef>
              <c:f>Sheet2!$I$29:$N$29</c:f>
              <c:numCache>
                <c:formatCode>General</c:formatCode>
                <c:ptCount val="6"/>
                <c:pt idx="0">
                  <c:v>300</c:v>
                </c:pt>
                <c:pt idx="1">
                  <c:v>350</c:v>
                </c:pt>
                <c:pt idx="2">
                  <c:v>370</c:v>
                </c:pt>
                <c:pt idx="3">
                  <c:v>400</c:v>
                </c:pt>
                <c:pt idx="4">
                  <c:v>420</c:v>
                </c:pt>
                <c:pt idx="5">
                  <c:v>430</c:v>
                </c:pt>
              </c:numCache>
            </c:numRef>
          </c:yVal>
          <c:smooth val="1"/>
        </c:ser>
        <c:ser>
          <c:idx val="2"/>
          <c:order val="2"/>
          <c:xVal>
            <c:numRef>
              <c:f>Sheet2!$I$27:$N$27</c:f>
              <c:numCache>
                <c:formatCode>General</c:formatCode>
                <c:ptCount val="6"/>
                <c:pt idx="0">
                  <c:v>0</c:v>
                </c:pt>
                <c:pt idx="1">
                  <c:v>10</c:v>
                </c:pt>
                <c:pt idx="2">
                  <c:v>20</c:v>
                </c:pt>
                <c:pt idx="3">
                  <c:v>30</c:v>
                </c:pt>
                <c:pt idx="4">
                  <c:v>40</c:v>
                </c:pt>
                <c:pt idx="5">
                  <c:v>50</c:v>
                </c:pt>
              </c:numCache>
            </c:numRef>
          </c:xVal>
          <c:yVal>
            <c:numRef>
              <c:f>Sheet2!$I$30:$N$30</c:f>
              <c:numCache>
                <c:formatCode>General</c:formatCode>
                <c:ptCount val="6"/>
                <c:pt idx="0">
                  <c:v>400</c:v>
                </c:pt>
                <c:pt idx="1">
                  <c:v>450</c:v>
                </c:pt>
                <c:pt idx="2">
                  <c:v>480</c:v>
                </c:pt>
                <c:pt idx="3">
                  <c:v>510</c:v>
                </c:pt>
                <c:pt idx="4">
                  <c:v>530</c:v>
                </c:pt>
                <c:pt idx="5">
                  <c:v>540</c:v>
                </c:pt>
              </c:numCache>
            </c:numRef>
          </c:yVal>
          <c:smooth val="1"/>
        </c:ser>
        <c:ser>
          <c:idx val="3"/>
          <c:order val="3"/>
          <c:xVal>
            <c:numRef>
              <c:f>Sheet2!$I$27:$N$27</c:f>
              <c:numCache>
                <c:formatCode>General</c:formatCode>
                <c:ptCount val="6"/>
                <c:pt idx="0">
                  <c:v>0</c:v>
                </c:pt>
                <c:pt idx="1">
                  <c:v>10</c:v>
                </c:pt>
                <c:pt idx="2">
                  <c:v>20</c:v>
                </c:pt>
                <c:pt idx="3">
                  <c:v>30</c:v>
                </c:pt>
                <c:pt idx="4">
                  <c:v>40</c:v>
                </c:pt>
                <c:pt idx="5">
                  <c:v>50</c:v>
                </c:pt>
              </c:numCache>
            </c:numRef>
          </c:xVal>
          <c:yVal>
            <c:numRef>
              <c:f>Sheet2!$I$31:$N$31</c:f>
              <c:numCache>
                <c:formatCode>General</c:formatCode>
                <c:ptCount val="6"/>
                <c:pt idx="0">
                  <c:v>500</c:v>
                </c:pt>
                <c:pt idx="1">
                  <c:v>575</c:v>
                </c:pt>
                <c:pt idx="2">
                  <c:v>640</c:v>
                </c:pt>
                <c:pt idx="3">
                  <c:v>680</c:v>
                </c:pt>
                <c:pt idx="4">
                  <c:v>720</c:v>
                </c:pt>
                <c:pt idx="5">
                  <c:v>750</c:v>
                </c:pt>
              </c:numCache>
            </c:numRef>
          </c:yVal>
          <c:smooth val="1"/>
        </c:ser>
        <c:ser>
          <c:idx val="4"/>
          <c:order val="4"/>
          <c:xVal>
            <c:numRef>
              <c:f>Sheet2!$I$27:$N$27</c:f>
              <c:numCache>
                <c:formatCode>General</c:formatCode>
                <c:ptCount val="6"/>
                <c:pt idx="0">
                  <c:v>0</c:v>
                </c:pt>
                <c:pt idx="1">
                  <c:v>10</c:v>
                </c:pt>
                <c:pt idx="2">
                  <c:v>20</c:v>
                </c:pt>
                <c:pt idx="3">
                  <c:v>30</c:v>
                </c:pt>
                <c:pt idx="4">
                  <c:v>40</c:v>
                </c:pt>
                <c:pt idx="5">
                  <c:v>50</c:v>
                </c:pt>
              </c:numCache>
            </c:numRef>
          </c:xVal>
          <c:yVal>
            <c:numRef>
              <c:f>Sheet2!$I$32:$N$32</c:f>
              <c:numCache>
                <c:formatCode>General</c:formatCode>
                <c:ptCount val="6"/>
                <c:pt idx="0">
                  <c:v>600</c:v>
                </c:pt>
                <c:pt idx="1">
                  <c:v>700</c:v>
                </c:pt>
                <c:pt idx="2">
                  <c:v>750</c:v>
                </c:pt>
                <c:pt idx="3">
                  <c:v>800</c:v>
                </c:pt>
                <c:pt idx="4">
                  <c:v>840</c:v>
                </c:pt>
                <c:pt idx="5">
                  <c:v>855</c:v>
                </c:pt>
              </c:numCache>
            </c:numRef>
          </c:yVal>
          <c:smooth val="1"/>
        </c:ser>
        <c:ser>
          <c:idx val="5"/>
          <c:order val="5"/>
          <c:xVal>
            <c:numRef>
              <c:f>Sheet2!$I$27:$N$27</c:f>
              <c:numCache>
                <c:formatCode>General</c:formatCode>
                <c:ptCount val="6"/>
                <c:pt idx="0">
                  <c:v>0</c:v>
                </c:pt>
                <c:pt idx="1">
                  <c:v>10</c:v>
                </c:pt>
                <c:pt idx="2">
                  <c:v>20</c:v>
                </c:pt>
                <c:pt idx="3">
                  <c:v>30</c:v>
                </c:pt>
                <c:pt idx="4">
                  <c:v>40</c:v>
                </c:pt>
                <c:pt idx="5">
                  <c:v>50</c:v>
                </c:pt>
              </c:numCache>
            </c:numRef>
          </c:xVal>
          <c:yVal>
            <c:numRef>
              <c:f>Sheet2!$I$33:$N$33</c:f>
              <c:numCache>
                <c:formatCode>General</c:formatCode>
                <c:ptCount val="6"/>
                <c:pt idx="0">
                  <c:v>700</c:v>
                </c:pt>
                <c:pt idx="1">
                  <c:v>780</c:v>
                </c:pt>
                <c:pt idx="2">
                  <c:v>840</c:v>
                </c:pt>
                <c:pt idx="3">
                  <c:v>875</c:v>
                </c:pt>
                <c:pt idx="4">
                  <c:v>905</c:v>
                </c:pt>
                <c:pt idx="5">
                  <c:v>935</c:v>
                </c:pt>
              </c:numCache>
            </c:numRef>
          </c:yVal>
          <c:smooth val="1"/>
        </c:ser>
        <c:ser>
          <c:idx val="6"/>
          <c:order val="6"/>
          <c:xVal>
            <c:numRef>
              <c:f>Sheet2!$I$27:$N$27</c:f>
              <c:numCache>
                <c:formatCode>General</c:formatCode>
                <c:ptCount val="6"/>
                <c:pt idx="0">
                  <c:v>0</c:v>
                </c:pt>
                <c:pt idx="1">
                  <c:v>10</c:v>
                </c:pt>
                <c:pt idx="2">
                  <c:v>20</c:v>
                </c:pt>
                <c:pt idx="3">
                  <c:v>30</c:v>
                </c:pt>
                <c:pt idx="4">
                  <c:v>40</c:v>
                </c:pt>
                <c:pt idx="5">
                  <c:v>50</c:v>
                </c:pt>
              </c:numCache>
            </c:numRef>
          </c:xVal>
          <c:yVal>
            <c:numRef>
              <c:f>Sheet2!$I$34:$N$34</c:f>
              <c:numCache>
                <c:formatCode>General</c:formatCode>
                <c:ptCount val="6"/>
                <c:pt idx="0">
                  <c:v>800</c:v>
                </c:pt>
                <c:pt idx="1">
                  <c:v>880</c:v>
                </c:pt>
                <c:pt idx="2">
                  <c:v>940</c:v>
                </c:pt>
                <c:pt idx="3">
                  <c:v>975</c:v>
                </c:pt>
                <c:pt idx="4">
                  <c:v>1010</c:v>
                </c:pt>
                <c:pt idx="5">
                  <c:v>1045</c:v>
                </c:pt>
              </c:numCache>
            </c:numRef>
          </c:yVal>
          <c:smooth val="1"/>
        </c:ser>
        <c:ser>
          <c:idx val="7"/>
          <c:order val="7"/>
          <c:xVal>
            <c:numRef>
              <c:f>Sheet2!$I$27:$N$27</c:f>
              <c:numCache>
                <c:formatCode>General</c:formatCode>
                <c:ptCount val="6"/>
                <c:pt idx="0">
                  <c:v>0</c:v>
                </c:pt>
                <c:pt idx="1">
                  <c:v>10</c:v>
                </c:pt>
                <c:pt idx="2">
                  <c:v>20</c:v>
                </c:pt>
                <c:pt idx="3">
                  <c:v>30</c:v>
                </c:pt>
                <c:pt idx="4">
                  <c:v>40</c:v>
                </c:pt>
                <c:pt idx="5">
                  <c:v>50</c:v>
                </c:pt>
              </c:numCache>
            </c:numRef>
          </c:xVal>
          <c:yVal>
            <c:numRef>
              <c:f>Sheet2!$I$35:$N$35</c:f>
              <c:numCache>
                <c:formatCode>General</c:formatCode>
                <c:ptCount val="6"/>
                <c:pt idx="0">
                  <c:v>900</c:v>
                </c:pt>
                <c:pt idx="1">
                  <c:v>980</c:v>
                </c:pt>
                <c:pt idx="2">
                  <c:v>1050</c:v>
                </c:pt>
                <c:pt idx="3">
                  <c:v>1100</c:v>
                </c:pt>
                <c:pt idx="4">
                  <c:v>1140</c:v>
                </c:pt>
                <c:pt idx="5">
                  <c:v>1160</c:v>
                </c:pt>
              </c:numCache>
            </c:numRef>
          </c:yVal>
          <c:smooth val="1"/>
        </c:ser>
        <c:ser>
          <c:idx val="8"/>
          <c:order val="8"/>
          <c:xVal>
            <c:numRef>
              <c:f>Sheet2!$I$27:$N$27</c:f>
              <c:numCache>
                <c:formatCode>General</c:formatCode>
                <c:ptCount val="6"/>
                <c:pt idx="0">
                  <c:v>0</c:v>
                </c:pt>
                <c:pt idx="1">
                  <c:v>10</c:v>
                </c:pt>
                <c:pt idx="2">
                  <c:v>20</c:v>
                </c:pt>
                <c:pt idx="3">
                  <c:v>30</c:v>
                </c:pt>
                <c:pt idx="4">
                  <c:v>40</c:v>
                </c:pt>
                <c:pt idx="5">
                  <c:v>50</c:v>
                </c:pt>
              </c:numCache>
            </c:numRef>
          </c:xVal>
          <c:yVal>
            <c:numRef>
              <c:f>Sheet2!$I$36:$N$36</c:f>
              <c:numCache>
                <c:formatCode>General</c:formatCode>
                <c:ptCount val="6"/>
                <c:pt idx="0">
                  <c:v>1000</c:v>
                </c:pt>
                <c:pt idx="1">
                  <c:v>1080</c:v>
                </c:pt>
                <c:pt idx="2">
                  <c:v>1140</c:v>
                </c:pt>
                <c:pt idx="3">
                  <c:v>1200</c:v>
                </c:pt>
                <c:pt idx="4">
                  <c:v>1240</c:v>
                </c:pt>
                <c:pt idx="5">
                  <c:v>1260</c:v>
                </c:pt>
              </c:numCache>
            </c:numRef>
          </c:yVal>
          <c:smooth val="1"/>
        </c:ser>
        <c:ser>
          <c:idx val="9"/>
          <c:order val="9"/>
          <c:xVal>
            <c:numRef>
              <c:f>Sheet2!$I$27:$N$27</c:f>
              <c:numCache>
                <c:formatCode>General</c:formatCode>
                <c:ptCount val="6"/>
                <c:pt idx="0">
                  <c:v>0</c:v>
                </c:pt>
                <c:pt idx="1">
                  <c:v>10</c:v>
                </c:pt>
                <c:pt idx="2">
                  <c:v>20</c:v>
                </c:pt>
                <c:pt idx="3">
                  <c:v>30</c:v>
                </c:pt>
                <c:pt idx="4">
                  <c:v>40</c:v>
                </c:pt>
                <c:pt idx="5">
                  <c:v>50</c:v>
                </c:pt>
              </c:numCache>
            </c:numRef>
          </c:xVal>
          <c:yVal>
            <c:numRef>
              <c:f>Sheet2!$I$37:$N$37</c:f>
              <c:numCache>
                <c:formatCode>General</c:formatCode>
                <c:ptCount val="6"/>
                <c:pt idx="0">
                  <c:v>100</c:v>
                </c:pt>
                <c:pt idx="1">
                  <c:v>140</c:v>
                </c:pt>
                <c:pt idx="2">
                  <c:v>170</c:v>
                </c:pt>
                <c:pt idx="3">
                  <c:v>185</c:v>
                </c:pt>
                <c:pt idx="4">
                  <c:v>200</c:v>
                </c:pt>
                <c:pt idx="5">
                  <c:v>210</c:v>
                </c:pt>
              </c:numCache>
            </c:numRef>
          </c:yVal>
          <c:smooth val="1"/>
        </c:ser>
        <c:axId val="53878144"/>
        <c:axId val="53900800"/>
      </c:scatterChart>
      <c:valAx>
        <c:axId val="53878144"/>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 m</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3900800"/>
        <c:crosses val="autoZero"/>
        <c:crossBetween val="midCat"/>
      </c:valAx>
      <c:valAx>
        <c:axId val="53900800"/>
        <c:scaling>
          <c:orientation val="minMax"/>
        </c:scaling>
        <c:axPos val="l"/>
        <c:majorGridlines/>
        <c:min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a1(a1z)m/s</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3878144"/>
        <c:crosses val="autoZero"/>
        <c:crossBetween val="midCat"/>
        <c:majorUnit val="100"/>
      </c:valAx>
    </c:plotArea>
    <c:plotVisOnly val="1"/>
  </c:chart>
  <c:printSettings>
    <c:headerFooter/>
    <c:pageMargins b="0.75000000000000111" l="0.70000000000000062" r="0.70000000000000062" t="0.750000000000001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حساب  </a:t>
            </a:r>
            <a:r>
              <a:rPr lang="en-US"/>
              <a:t>k</a:t>
            </a:r>
            <a:r>
              <a:rPr lang="az-Cyrl-AZ">
                <a:latin typeface="Times New Roman"/>
                <a:cs typeface="Times New Roman"/>
              </a:rPr>
              <a:t>п</a:t>
            </a:r>
            <a:r>
              <a:rPr lang="en-US"/>
              <a:t>   </a:t>
            </a:r>
          </a:p>
        </c:rich>
      </c:tx>
    </c:title>
    <c:plotArea>
      <c:layout/>
      <c:scatterChart>
        <c:scatterStyle val="smoothMarker"/>
        <c:ser>
          <c:idx val="0"/>
          <c:order val="0"/>
          <c:xVal>
            <c:numRef>
              <c:f>Sheet2!$J$2:$U$2</c:f>
              <c:numCache>
                <c:formatCode>General</c:formatCode>
                <c:ptCount val="12"/>
                <c:pt idx="0">
                  <c:v>0</c:v>
                </c:pt>
                <c:pt idx="1">
                  <c:v>0.5</c:v>
                </c:pt>
                <c:pt idx="2">
                  <c:v>1</c:v>
                </c:pt>
                <c:pt idx="3">
                  <c:v>2</c:v>
                </c:pt>
                <c:pt idx="4">
                  <c:v>3</c:v>
                </c:pt>
                <c:pt idx="5">
                  <c:v>4</c:v>
                </c:pt>
                <c:pt idx="6">
                  <c:v>5</c:v>
                </c:pt>
                <c:pt idx="7">
                  <c:v>6</c:v>
                </c:pt>
                <c:pt idx="8">
                  <c:v>7</c:v>
                </c:pt>
                <c:pt idx="9">
                  <c:v>8</c:v>
                </c:pt>
                <c:pt idx="10">
                  <c:v>9</c:v>
                </c:pt>
                <c:pt idx="11">
                  <c:v>10</c:v>
                </c:pt>
              </c:numCache>
            </c:numRef>
          </c:xVal>
          <c:yVal>
            <c:numRef>
              <c:f>Sheet2!$J$3:$U$3</c:f>
              <c:numCache>
                <c:formatCode>General</c:formatCode>
                <c:ptCount val="12"/>
                <c:pt idx="0">
                  <c:v>0.5</c:v>
                </c:pt>
                <c:pt idx="1">
                  <c:v>0.7</c:v>
                </c:pt>
                <c:pt idx="2">
                  <c:v>0.81</c:v>
                </c:pt>
                <c:pt idx="3">
                  <c:v>0.9</c:v>
                </c:pt>
                <c:pt idx="4">
                  <c:v>0.92</c:v>
                </c:pt>
                <c:pt idx="5">
                  <c:v>0.94</c:v>
                </c:pt>
                <c:pt idx="6">
                  <c:v>0.95</c:v>
                </c:pt>
                <c:pt idx="7">
                  <c:v>0.95499999999999996</c:v>
                </c:pt>
                <c:pt idx="8">
                  <c:v>0.96</c:v>
                </c:pt>
                <c:pt idx="9">
                  <c:v>0.96499999999999997</c:v>
                </c:pt>
                <c:pt idx="10">
                  <c:v>0.97</c:v>
                </c:pt>
                <c:pt idx="11">
                  <c:v>0.97499999999999998</c:v>
                </c:pt>
              </c:numCache>
            </c:numRef>
          </c:yVal>
          <c:smooth val="1"/>
        </c:ser>
        <c:axId val="57673216"/>
        <c:axId val="57675136"/>
      </c:scatterChart>
      <c:valAx>
        <c:axId val="57673216"/>
        <c:scaling>
          <c:orientation val="minMax"/>
        </c:scaling>
        <c:axPos val="b"/>
        <c:majorGridlines/>
        <c:minorGridlines/>
        <c:title>
          <c:tx>
            <c:rich>
              <a:bodyPr/>
              <a:lstStyle/>
              <a:p>
                <a:pPr>
                  <a:defRPr sz="1400">
                    <a:latin typeface="Times New Roman" pitchFamily="18" charset="0"/>
                    <a:cs typeface="Times New Roman" pitchFamily="18" charset="0"/>
                  </a:defRPr>
                </a:pPr>
                <a:r>
                  <a:rPr lang="el-GR" sz="1400">
                    <a:latin typeface="Times New Roman" pitchFamily="18" charset="0"/>
                    <a:cs typeface="Times New Roman" pitchFamily="18" charset="0"/>
                  </a:rPr>
                  <a:t>λ</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7675136"/>
        <c:crosses val="autoZero"/>
        <c:crossBetween val="midCat"/>
        <c:majorUnit val="1"/>
      </c:valAx>
      <c:valAx>
        <c:axId val="57675136"/>
        <c:scaling>
          <c:orientation val="minMax"/>
        </c:scaling>
        <c:axPos val="l"/>
        <c:majorGridlines/>
        <c:minorGridlines/>
        <c:title>
          <c:tx>
            <c:rich>
              <a:bodyPr/>
              <a:lstStyle/>
              <a:p>
                <a:pPr>
                  <a:defRPr sz="1400">
                    <a:latin typeface="Times New Roman" pitchFamily="18" charset="0"/>
                    <a:cs typeface="Times New Roman" pitchFamily="18" charset="0"/>
                  </a:defRPr>
                </a:pPr>
                <a:r>
                  <a:rPr lang="en-US" sz="1400">
                    <a:latin typeface="Times New Roman" pitchFamily="18" charset="0"/>
                    <a:cs typeface="Times New Roman" pitchFamily="18" charset="0"/>
                  </a:rPr>
                  <a:t>K</a:t>
                </a:r>
                <a:r>
                  <a:rPr lang="az-Cyrl-AZ" sz="1400">
                    <a:latin typeface="Times New Roman" pitchFamily="18" charset="0"/>
                    <a:cs typeface="Times New Roman" pitchFamily="18" charset="0"/>
                  </a:rPr>
                  <a:t>п</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57673216"/>
        <c:crosses val="autoZero"/>
        <c:crossBetween val="midCat"/>
        <c:majorUnit val="0.1"/>
      </c:valAx>
    </c:plotArea>
    <c:legend>
      <c:legendPos val="r"/>
    </c:legend>
    <c:plotVisOnly val="1"/>
  </c:chart>
  <c:printSettings>
    <c:headerFooter/>
    <c:pageMargins b="0.75000000000000255" l="0.70000000000000062" r="0.70000000000000062" t="0.7500000000000025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a:t>
            </a:r>
            <a:r>
              <a:rPr lang="en-US"/>
              <a:t>K</a:t>
            </a:r>
            <a:r>
              <a:rPr lang="az-Cyrl-AZ">
                <a:latin typeface="Times New Roman"/>
                <a:cs typeface="Times New Roman"/>
              </a:rPr>
              <a:t>д</a:t>
            </a:r>
            <a:r>
              <a:rPr lang="en-US">
                <a:latin typeface="Times New Roman"/>
                <a:cs typeface="Times New Roman"/>
              </a:rPr>
              <a:t> </a:t>
            </a:r>
            <a:r>
              <a:rPr lang="ar-EG"/>
              <a:t>حساب</a:t>
            </a:r>
          </a:p>
        </c:rich>
      </c:tx>
    </c:title>
    <c:plotArea>
      <c:layout/>
      <c:scatterChart>
        <c:scatterStyle val="smoothMarker"/>
        <c:ser>
          <c:idx val="0"/>
          <c:order val="0"/>
          <c:tx>
            <c:v>k=3</c:v>
          </c:tx>
          <c:xVal>
            <c:numRef>
              <c:f>Sheet2!$A$1:$H$1</c:f>
              <c:numCache>
                <c:formatCode>General</c:formatCode>
                <c:ptCount val="8"/>
                <c:pt idx="0">
                  <c:v>0</c:v>
                </c:pt>
                <c:pt idx="1">
                  <c:v>1</c:v>
                </c:pt>
                <c:pt idx="2">
                  <c:v>2</c:v>
                </c:pt>
                <c:pt idx="3">
                  <c:v>4</c:v>
                </c:pt>
                <c:pt idx="4">
                  <c:v>6</c:v>
                </c:pt>
                <c:pt idx="5">
                  <c:v>8</c:v>
                </c:pt>
                <c:pt idx="6">
                  <c:v>10</c:v>
                </c:pt>
                <c:pt idx="7">
                  <c:v>12</c:v>
                </c:pt>
              </c:numCache>
            </c:numRef>
          </c:xVal>
          <c:yVal>
            <c:numRef>
              <c:f>Sheet2!$A$2:$H$2</c:f>
              <c:numCache>
                <c:formatCode>General</c:formatCode>
                <c:ptCount val="8"/>
                <c:pt idx="0">
                  <c:v>0</c:v>
                </c:pt>
                <c:pt idx="1">
                  <c:v>0.8</c:v>
                </c:pt>
                <c:pt idx="2">
                  <c:v>1.05</c:v>
                </c:pt>
                <c:pt idx="3">
                  <c:v>1</c:v>
                </c:pt>
                <c:pt idx="4">
                  <c:v>0.95</c:v>
                </c:pt>
                <c:pt idx="5">
                  <c:v>0.92</c:v>
                </c:pt>
                <c:pt idx="6">
                  <c:v>0.93</c:v>
                </c:pt>
                <c:pt idx="7">
                  <c:v>1</c:v>
                </c:pt>
              </c:numCache>
            </c:numRef>
          </c:yVal>
          <c:smooth val="1"/>
        </c:ser>
        <c:axId val="59063680"/>
        <c:axId val="59082240"/>
      </c:scatterChart>
      <c:valAx>
        <c:axId val="59063680"/>
        <c:scaling>
          <c:orientation val="minMax"/>
        </c:scaling>
        <c:axPos val="b"/>
        <c:majorGridlines/>
        <c:minorGridlines/>
        <c:title>
          <c:tx>
            <c:rich>
              <a:bodyPr/>
              <a:lstStyle/>
              <a:p>
                <a:pPr>
                  <a:defRPr>
                    <a:latin typeface="Times New Roman" pitchFamily="18" charset="0"/>
                    <a:cs typeface="Times New Roman" pitchFamily="18" charset="0"/>
                  </a:defRPr>
                </a:pPr>
                <a:r>
                  <a:rPr lang="el-GR" sz="1400">
                    <a:latin typeface="Times New Roman" pitchFamily="18" charset="0"/>
                    <a:cs typeface="Times New Roman" pitchFamily="18" charset="0"/>
                  </a:rPr>
                  <a:t>ωτ</a:t>
                </a:r>
                <a:r>
                  <a:rPr lang="az-Cyrl-AZ">
                    <a:latin typeface="Times New Roman" pitchFamily="18" charset="0"/>
                    <a:cs typeface="Times New Roman" pitchFamily="18" charset="0"/>
                  </a:rPr>
                  <a:t>н</a:t>
                </a:r>
              </a:p>
            </c:rich>
          </c:tx>
        </c:title>
        <c:numFmt formatCode="General" sourceLinked="1"/>
        <c:majorTickMark val="none"/>
        <c:tickLblPos val="nextTo"/>
        <c:txPr>
          <a:bodyPr/>
          <a:lstStyle/>
          <a:p>
            <a:pPr>
              <a:defRPr b="1" i="0" baseline="0">
                <a:latin typeface="Times New Roman" pitchFamily="18" charset="0"/>
              </a:defRPr>
            </a:pPr>
            <a:endParaRPr lang="en-US"/>
          </a:p>
        </c:txPr>
        <c:crossAx val="59082240"/>
        <c:crosses val="autoZero"/>
        <c:crossBetween val="midCat"/>
        <c:majorUnit val="1"/>
      </c:valAx>
      <c:valAx>
        <c:axId val="59082240"/>
        <c:scaling>
          <c:orientation val="minMax"/>
        </c:scaling>
        <c:axPos val="l"/>
        <c:majorGridlines/>
        <c:title>
          <c:tx>
            <c:rich>
              <a:bodyPr/>
              <a:lstStyle/>
              <a:p>
                <a:pPr>
                  <a:defRPr/>
                </a:pPr>
                <a:r>
                  <a:rPr lang="en-US"/>
                  <a:t>K</a:t>
                </a:r>
                <a:r>
                  <a:rPr lang="az-Cyrl-AZ"/>
                  <a:t>д</a:t>
                </a:r>
              </a:p>
            </c:rich>
          </c:tx>
        </c:title>
        <c:numFmt formatCode="General" sourceLinked="1"/>
        <c:majorTickMark val="none"/>
        <c:tickLblPos val="nextTo"/>
        <c:txPr>
          <a:bodyPr/>
          <a:lstStyle/>
          <a:p>
            <a:pPr>
              <a:defRPr sz="900" b="1" i="0" baseline="0">
                <a:latin typeface="Times New Roman" pitchFamily="18" charset="0"/>
              </a:defRPr>
            </a:pPr>
            <a:endParaRPr lang="en-US"/>
          </a:p>
        </c:txPr>
        <c:crossAx val="59063680"/>
        <c:crosses val="autoZero"/>
        <c:crossBetween val="midCat"/>
        <c:majorUnit val="0.1"/>
      </c:valAx>
    </c:plotArea>
    <c:legend>
      <c:legendPos val="r"/>
    </c:legend>
    <c:plotVisOnly val="1"/>
  </c:chart>
  <c:spPr>
    <a:ln w="25400" cmpd="sng"/>
  </c:spPr>
  <c:printSettings>
    <c:headerFooter/>
    <c:pageMargins b="0.75000000000000255" l="0.70000000000000062" r="0.70000000000000062" t="0.7500000000000025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6.xml"/><Relationship Id="rId5"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581025</xdr:colOff>
      <xdr:row>94</xdr:row>
      <xdr:rowOff>57150</xdr:rowOff>
    </xdr:from>
    <xdr:to>
      <xdr:col>13</xdr:col>
      <xdr:colOff>333375</xdr:colOff>
      <xdr:row>100</xdr:row>
      <xdr:rowOff>171449</xdr:rowOff>
    </xdr:to>
    <xdr:grpSp>
      <xdr:nvGrpSpPr>
        <xdr:cNvPr id="3" name="Group 1"/>
        <xdr:cNvGrpSpPr>
          <a:grpSpLocks/>
        </xdr:cNvGrpSpPr>
      </xdr:nvGrpSpPr>
      <xdr:grpSpPr bwMode="auto">
        <a:xfrm>
          <a:off x="9944100" y="20831175"/>
          <a:ext cx="1428750" cy="1333499"/>
          <a:chOff x="108404025" y="108546900"/>
          <a:chExt cx="1428750" cy="1543050"/>
        </a:xfrm>
      </xdr:grpSpPr>
      <xdr:sp macro="" textlink="">
        <xdr:nvSpPr>
          <xdr:cNvPr id="4" name="Text Box 2"/>
          <xdr:cNvSpPr txBox="1">
            <a:spLocks noChangeArrowheads="1"/>
          </xdr:cNvSpPr>
        </xdr:nvSpPr>
        <xdr:spPr bwMode="auto">
          <a:xfrm>
            <a:off x="108632625" y="10986135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nvGrpSpPr>
          <xdr:cNvPr id="5" name="Group 3"/>
          <xdr:cNvGrpSpPr>
            <a:grpSpLocks/>
          </xdr:cNvGrpSpPr>
        </xdr:nvGrpSpPr>
        <xdr:grpSpPr bwMode="auto">
          <a:xfrm>
            <a:off x="108404025" y="108546900"/>
            <a:ext cx="1428750" cy="1257301"/>
            <a:chOff x="108404025" y="108546900"/>
            <a:chExt cx="1428750" cy="1257301"/>
          </a:xfrm>
        </xdr:grpSpPr>
        <xdr:grpSp>
          <xdr:nvGrpSpPr>
            <xdr:cNvPr id="6" name="Group 4"/>
            <xdr:cNvGrpSpPr>
              <a:grpSpLocks/>
            </xdr:cNvGrpSpPr>
          </xdr:nvGrpSpPr>
          <xdr:grpSpPr bwMode="auto">
            <a:xfrm>
              <a:off x="108632625" y="108889800"/>
              <a:ext cx="1200150" cy="914401"/>
              <a:chOff x="108632625" y="108889800"/>
              <a:chExt cx="1200150" cy="914401"/>
            </a:xfrm>
          </xdr:grpSpPr>
          <xdr:sp macro="" textlink="">
            <xdr:nvSpPr>
              <xdr:cNvPr id="11" name="Line 5"/>
              <xdr:cNvSpPr>
                <a:spLocks noChangeShapeType="1"/>
              </xdr:cNvSpPr>
            </xdr:nvSpPr>
            <xdr:spPr bwMode="auto">
              <a:xfrm>
                <a:off x="108632625" y="108889800"/>
                <a:ext cx="1" cy="914400"/>
              </a:xfrm>
              <a:prstGeom prst="line">
                <a:avLst/>
              </a:prstGeom>
              <a:noFill/>
              <a:ln w="9525" algn="ctr">
                <a:solidFill>
                  <a:srgbClr val="000000"/>
                </a:solidFill>
                <a:round/>
                <a:headEnd/>
                <a:tailEnd/>
              </a:ln>
              <a:effectLst/>
            </xdr:spPr>
          </xdr:sp>
          <xdr:sp macro="" textlink="">
            <xdr:nvSpPr>
              <xdr:cNvPr id="12" name="Line 6"/>
              <xdr:cNvSpPr>
                <a:spLocks noChangeShapeType="1"/>
              </xdr:cNvSpPr>
            </xdr:nvSpPr>
            <xdr:spPr bwMode="auto">
              <a:xfrm>
                <a:off x="108632625" y="109804200"/>
                <a:ext cx="1200150" cy="1"/>
              </a:xfrm>
              <a:prstGeom prst="line">
                <a:avLst/>
              </a:prstGeom>
              <a:noFill/>
              <a:ln w="9525" algn="ctr">
                <a:solidFill>
                  <a:srgbClr val="000000"/>
                </a:solidFill>
                <a:round/>
                <a:headEnd/>
                <a:tailEnd/>
              </a:ln>
              <a:effectLst/>
            </xdr:spPr>
          </xdr:sp>
        </xdr:grpSp>
        <xdr:sp macro="" textlink="">
          <xdr:nvSpPr>
            <xdr:cNvPr id="7" name="Line 7"/>
            <xdr:cNvSpPr>
              <a:spLocks noChangeShapeType="1"/>
            </xdr:cNvSpPr>
          </xdr:nvSpPr>
          <xdr:spPr bwMode="auto">
            <a:xfrm flipV="1">
              <a:off x="108632625" y="109118400"/>
              <a:ext cx="514350" cy="685800"/>
            </a:xfrm>
            <a:prstGeom prst="line">
              <a:avLst/>
            </a:prstGeom>
            <a:noFill/>
            <a:ln w="9525" algn="ctr">
              <a:solidFill>
                <a:srgbClr val="000000"/>
              </a:solidFill>
              <a:round/>
              <a:headEnd/>
              <a:tailEnd/>
            </a:ln>
            <a:effectLst/>
          </xdr:spPr>
        </xdr:sp>
        <xdr:sp macro="" textlink="">
          <xdr:nvSpPr>
            <xdr:cNvPr id="8" name="Line 8"/>
            <xdr:cNvSpPr>
              <a:spLocks noChangeShapeType="1"/>
            </xdr:cNvSpPr>
          </xdr:nvSpPr>
          <xdr:spPr bwMode="auto">
            <a:xfrm>
              <a:off x="109146975" y="109118400"/>
              <a:ext cx="628650" cy="685800"/>
            </a:xfrm>
            <a:prstGeom prst="line">
              <a:avLst/>
            </a:prstGeom>
            <a:noFill/>
            <a:ln w="9525" algn="ctr">
              <a:solidFill>
                <a:srgbClr val="000000"/>
              </a:solidFill>
              <a:round/>
              <a:headEnd/>
              <a:tailEnd/>
            </a:ln>
            <a:effectLst/>
          </xdr:spPr>
        </xdr:sp>
        <xdr:sp macro="" textlink="">
          <xdr:nvSpPr>
            <xdr:cNvPr id="9" name="Line 9"/>
            <xdr:cNvSpPr>
              <a:spLocks noChangeShapeType="1"/>
            </xdr:cNvSpPr>
          </xdr:nvSpPr>
          <xdr:spPr bwMode="auto">
            <a:xfrm>
              <a:off x="109146975" y="109118400"/>
              <a:ext cx="0" cy="685800"/>
            </a:xfrm>
            <a:prstGeom prst="line">
              <a:avLst/>
            </a:prstGeom>
            <a:noFill/>
            <a:ln w="9525" algn="ctr">
              <a:solidFill>
                <a:srgbClr val="000000"/>
              </a:solidFill>
              <a:round/>
              <a:headEnd/>
              <a:tailEnd/>
            </a:ln>
            <a:effectLst/>
          </xdr:spPr>
        </xdr:sp>
        <xdr:sp macro="" textlink="">
          <xdr:nvSpPr>
            <xdr:cNvPr id="10" name="Text Box 10"/>
            <xdr:cNvSpPr txBox="1">
              <a:spLocks noChangeArrowheads="1"/>
            </xdr:cNvSpPr>
          </xdr:nvSpPr>
          <xdr:spPr bwMode="auto">
            <a:xfrm>
              <a:off x="108404025" y="1085469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6</xdr:col>
      <xdr:colOff>104775</xdr:colOff>
      <xdr:row>95</xdr:row>
      <xdr:rowOff>123826</xdr:rowOff>
    </xdr:from>
    <xdr:to>
      <xdr:col>8</xdr:col>
      <xdr:colOff>523875</xdr:colOff>
      <xdr:row>101</xdr:row>
      <xdr:rowOff>114301</xdr:rowOff>
    </xdr:to>
    <xdr:grpSp>
      <xdr:nvGrpSpPr>
        <xdr:cNvPr id="1035" name="Group 11"/>
        <xdr:cNvGrpSpPr>
          <a:grpSpLocks/>
        </xdr:cNvGrpSpPr>
      </xdr:nvGrpSpPr>
      <xdr:grpSpPr bwMode="auto">
        <a:xfrm>
          <a:off x="6115050" y="21107401"/>
          <a:ext cx="1714500" cy="1200150"/>
          <a:chOff x="108746925" y="110375700"/>
          <a:chExt cx="2114550" cy="1371600"/>
        </a:xfrm>
      </xdr:grpSpPr>
      <xdr:grpSp>
        <xdr:nvGrpSpPr>
          <xdr:cNvPr id="1036" name="Group 12"/>
          <xdr:cNvGrpSpPr>
            <a:grpSpLocks/>
          </xdr:cNvGrpSpPr>
        </xdr:nvGrpSpPr>
        <xdr:grpSpPr bwMode="auto">
          <a:xfrm>
            <a:off x="108746925" y="110375700"/>
            <a:ext cx="1543050" cy="1200151"/>
            <a:chOff x="108746925" y="110375700"/>
            <a:chExt cx="1543050" cy="1200151"/>
          </a:xfrm>
        </xdr:grpSpPr>
        <xdr:grpSp>
          <xdr:nvGrpSpPr>
            <xdr:cNvPr id="1037" name="Group 13"/>
            <xdr:cNvGrpSpPr>
              <a:grpSpLocks/>
            </xdr:cNvGrpSpPr>
          </xdr:nvGrpSpPr>
          <xdr:grpSpPr bwMode="auto">
            <a:xfrm>
              <a:off x="109089825" y="110661450"/>
              <a:ext cx="1200150" cy="914401"/>
              <a:chOff x="109442250" y="111204375"/>
              <a:chExt cx="1200150" cy="914401"/>
            </a:xfrm>
          </xdr:grpSpPr>
          <xdr:sp macro="" textlink="">
            <xdr:nvSpPr>
              <xdr:cNvPr id="1038" name="Line 14"/>
              <xdr:cNvSpPr>
                <a:spLocks noChangeShapeType="1"/>
              </xdr:cNvSpPr>
            </xdr:nvSpPr>
            <xdr:spPr bwMode="auto">
              <a:xfrm>
                <a:off x="109442250" y="111204375"/>
                <a:ext cx="1" cy="914400"/>
              </a:xfrm>
              <a:prstGeom prst="line">
                <a:avLst/>
              </a:prstGeom>
              <a:noFill/>
              <a:ln w="9525" algn="ctr">
                <a:solidFill>
                  <a:srgbClr val="000000"/>
                </a:solidFill>
                <a:round/>
                <a:headEnd/>
                <a:tailEnd/>
              </a:ln>
              <a:effectLst/>
            </xdr:spPr>
          </xdr:sp>
          <xdr:sp macro="" textlink="">
            <xdr:nvSpPr>
              <xdr:cNvPr id="1039" name="Line 15"/>
              <xdr:cNvSpPr>
                <a:spLocks noChangeShapeType="1"/>
              </xdr:cNvSpPr>
            </xdr:nvSpPr>
            <xdr:spPr bwMode="auto">
              <a:xfrm>
                <a:off x="109442250" y="112118775"/>
                <a:ext cx="1200150" cy="1"/>
              </a:xfrm>
              <a:prstGeom prst="line">
                <a:avLst/>
              </a:prstGeom>
              <a:noFill/>
              <a:ln w="9525" algn="ctr">
                <a:solidFill>
                  <a:srgbClr val="000000"/>
                </a:solidFill>
                <a:round/>
                <a:headEnd/>
                <a:tailEnd/>
              </a:ln>
              <a:effectLst/>
            </xdr:spPr>
          </xdr:sp>
        </xdr:grpSp>
        <xdr:sp macro="" textlink="">
          <xdr:nvSpPr>
            <xdr:cNvPr id="1040" name="Line 16"/>
            <xdr:cNvSpPr>
              <a:spLocks noChangeShapeType="1"/>
            </xdr:cNvSpPr>
          </xdr:nvSpPr>
          <xdr:spPr bwMode="auto">
            <a:xfrm>
              <a:off x="109089825" y="110832900"/>
              <a:ext cx="742950" cy="742950"/>
            </a:xfrm>
            <a:prstGeom prst="line">
              <a:avLst/>
            </a:prstGeom>
            <a:noFill/>
            <a:ln w="9525">
              <a:solidFill>
                <a:srgbClr val="000000"/>
              </a:solidFill>
              <a:round/>
              <a:headEnd/>
              <a:tailEnd/>
            </a:ln>
            <a:effectLst/>
          </xdr:spPr>
        </xdr:sp>
        <xdr:sp macro="" textlink="">
          <xdr:nvSpPr>
            <xdr:cNvPr id="1041" name="Text Box 17"/>
            <xdr:cNvSpPr txBox="1">
              <a:spLocks noChangeArrowheads="1"/>
            </xdr:cNvSpPr>
          </xdr:nvSpPr>
          <xdr:spPr bwMode="auto">
            <a:xfrm>
              <a:off x="108746925" y="1103757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sp macro="" textlink="">
        <xdr:nvSpPr>
          <xdr:cNvPr id="1042" name="Text Box 18"/>
          <xdr:cNvSpPr txBox="1">
            <a:spLocks noChangeArrowheads="1"/>
          </xdr:cNvSpPr>
        </xdr:nvSpPr>
        <xdr:spPr bwMode="auto">
          <a:xfrm>
            <a:off x="110289975" y="11151870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clientData/>
  </xdr:twoCellAnchor>
  <xdr:twoCellAnchor>
    <xdr:from>
      <xdr:col>5</xdr:col>
      <xdr:colOff>838200</xdr:colOff>
      <xdr:row>116</xdr:row>
      <xdr:rowOff>57149</xdr:rowOff>
    </xdr:from>
    <xdr:to>
      <xdr:col>10</xdr:col>
      <xdr:colOff>533400</xdr:colOff>
      <xdr:row>133</xdr:row>
      <xdr:rowOff>47625</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1219200</xdr:colOff>
      <xdr:row>151</xdr:row>
      <xdr:rowOff>95250</xdr:rowOff>
    </xdr:from>
    <xdr:to>
      <xdr:col>7</xdr:col>
      <xdr:colOff>609600</xdr:colOff>
      <xdr:row>164</xdr:row>
      <xdr:rowOff>171450</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276225</xdr:colOff>
      <xdr:row>2</xdr:row>
      <xdr:rowOff>200024</xdr:rowOff>
    </xdr:from>
    <xdr:to>
      <xdr:col>8</xdr:col>
      <xdr:colOff>47625</xdr:colOff>
      <xdr:row>22</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295275</xdr:colOff>
      <xdr:row>3</xdr:row>
      <xdr:rowOff>28575</xdr:rowOff>
    </xdr:from>
    <xdr:to>
      <xdr:col>8</xdr:col>
      <xdr:colOff>28575</xdr:colOff>
      <xdr:row>7</xdr:row>
      <xdr:rowOff>114298</xdr:rowOff>
    </xdr:to>
    <xdr:grpSp>
      <xdr:nvGrpSpPr>
        <xdr:cNvPr id="2049" name="Group 1"/>
        <xdr:cNvGrpSpPr>
          <a:grpSpLocks/>
        </xdr:cNvGrpSpPr>
      </xdr:nvGrpSpPr>
      <xdr:grpSpPr bwMode="auto">
        <a:xfrm>
          <a:off x="3724275" y="628650"/>
          <a:ext cx="1790700" cy="885823"/>
          <a:chOff x="108575475" y="108318300"/>
          <a:chExt cx="1828800" cy="971550"/>
        </a:xfrm>
      </xdr:grpSpPr>
      <xdr:sp macro="" textlink="">
        <xdr:nvSpPr>
          <xdr:cNvPr id="2050" name="Line 2"/>
          <xdr:cNvSpPr>
            <a:spLocks noChangeShapeType="1"/>
          </xdr:cNvSpPr>
        </xdr:nvSpPr>
        <xdr:spPr bwMode="auto">
          <a:xfrm>
            <a:off x="109261275" y="108318300"/>
            <a:ext cx="1143000" cy="685800"/>
          </a:xfrm>
          <a:prstGeom prst="line">
            <a:avLst/>
          </a:prstGeom>
          <a:noFill/>
          <a:ln w="9525">
            <a:solidFill>
              <a:srgbClr val="000000"/>
            </a:solidFill>
            <a:round/>
            <a:headEnd/>
            <a:tailEnd/>
          </a:ln>
          <a:effectLst/>
        </xdr:spPr>
      </xdr:sp>
      <xdr:sp macro="" textlink="">
        <xdr:nvSpPr>
          <xdr:cNvPr id="2051" name="Line 3"/>
          <xdr:cNvSpPr>
            <a:spLocks noChangeShapeType="1"/>
          </xdr:cNvSpPr>
        </xdr:nvSpPr>
        <xdr:spPr bwMode="auto">
          <a:xfrm flipH="1">
            <a:off x="108575475" y="108318300"/>
            <a:ext cx="685800" cy="685800"/>
          </a:xfrm>
          <a:prstGeom prst="line">
            <a:avLst/>
          </a:prstGeom>
          <a:noFill/>
          <a:ln w="9525">
            <a:solidFill>
              <a:srgbClr val="000000"/>
            </a:solidFill>
            <a:round/>
            <a:headEnd/>
            <a:tailEnd/>
          </a:ln>
          <a:effectLst/>
        </xdr:spPr>
      </xdr:sp>
      <xdr:sp macro="" textlink="">
        <xdr:nvSpPr>
          <xdr:cNvPr id="2052" name="Line 4"/>
          <xdr:cNvSpPr>
            <a:spLocks noChangeShapeType="1"/>
          </xdr:cNvSpPr>
        </xdr:nvSpPr>
        <xdr:spPr bwMode="auto">
          <a:xfrm flipH="1">
            <a:off x="108575475" y="109004100"/>
            <a:ext cx="1828800" cy="0"/>
          </a:xfrm>
          <a:prstGeom prst="line">
            <a:avLst/>
          </a:prstGeom>
          <a:noFill/>
          <a:ln w="9525">
            <a:solidFill>
              <a:srgbClr val="000000"/>
            </a:solidFill>
            <a:round/>
            <a:headEnd/>
            <a:tailEnd/>
          </a:ln>
          <a:effectLst/>
        </xdr:spPr>
      </xdr:sp>
      <xdr:sp macro="" textlink="">
        <xdr:nvSpPr>
          <xdr:cNvPr id="2053" name="Line 5"/>
          <xdr:cNvSpPr>
            <a:spLocks noChangeShapeType="1"/>
          </xdr:cNvSpPr>
        </xdr:nvSpPr>
        <xdr:spPr bwMode="auto">
          <a:xfrm>
            <a:off x="109261275" y="108318300"/>
            <a:ext cx="0" cy="971550"/>
          </a:xfrm>
          <a:prstGeom prst="line">
            <a:avLst/>
          </a:prstGeom>
          <a:noFill/>
          <a:ln w="9525">
            <a:solidFill>
              <a:srgbClr val="000000"/>
            </a:solidFill>
            <a:prstDash val="dash"/>
            <a:round/>
            <a:headEnd/>
            <a:tailEnd/>
          </a:ln>
          <a:effectLst/>
        </xdr:spPr>
      </xdr:sp>
      <xdr:sp macro="" textlink="">
        <xdr:nvSpPr>
          <xdr:cNvPr id="2054" name="Line 6"/>
          <xdr:cNvSpPr>
            <a:spLocks noChangeShapeType="1"/>
          </xdr:cNvSpPr>
        </xdr:nvSpPr>
        <xdr:spPr bwMode="auto">
          <a:xfrm flipH="1">
            <a:off x="109261275" y="109289850"/>
            <a:ext cx="1143000" cy="0"/>
          </a:xfrm>
          <a:prstGeom prst="line">
            <a:avLst/>
          </a:prstGeom>
          <a:noFill/>
          <a:ln w="9525">
            <a:solidFill>
              <a:srgbClr val="000000"/>
            </a:solidFill>
            <a:prstDash val="sysDot"/>
            <a:round/>
            <a:headEnd type="triangle" w="med" len="med"/>
            <a:tailEnd type="triangle" w="med" len="med"/>
          </a:ln>
          <a:effectLst/>
        </xdr:spPr>
      </xdr:sp>
      <xdr:sp macro="" textlink="">
        <xdr:nvSpPr>
          <xdr:cNvPr id="2055" name="Line 7"/>
          <xdr:cNvSpPr>
            <a:spLocks noChangeShapeType="1"/>
          </xdr:cNvSpPr>
        </xdr:nvSpPr>
        <xdr:spPr bwMode="auto">
          <a:xfrm flipH="1">
            <a:off x="108575475" y="109289850"/>
            <a:ext cx="685800" cy="0"/>
          </a:xfrm>
          <a:prstGeom prst="line">
            <a:avLst/>
          </a:prstGeom>
          <a:noFill/>
          <a:ln w="9525" algn="ctr">
            <a:solidFill>
              <a:srgbClr val="000000"/>
            </a:solidFill>
            <a:prstDash val="sysDot"/>
            <a:round/>
            <a:headEnd type="triangle" w="med" len="med"/>
            <a:tailEnd type="triangle" w="med" len="med"/>
          </a:ln>
          <a:effectLst/>
        </xdr:spPr>
      </xdr:sp>
      <xdr:sp macro="" textlink="">
        <xdr:nvSpPr>
          <xdr:cNvPr id="2056" name="Text Box 8"/>
          <xdr:cNvSpPr txBox="1">
            <a:spLocks noChangeArrowheads="1"/>
          </xdr:cNvSpPr>
        </xdr:nvSpPr>
        <xdr:spPr bwMode="auto">
          <a:xfrm>
            <a:off x="108804075" y="109061250"/>
            <a:ext cx="28575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200" b="0" i="0" u="none" strike="noStrike" baseline="0">
                <a:solidFill>
                  <a:srgbClr val="000000"/>
                </a:solidFill>
                <a:latin typeface="Times New Roman Greek"/>
                <a:cs typeface="Times New Roman Greek"/>
              </a:rPr>
              <a:t>τ</a:t>
            </a:r>
            <a:r>
              <a:rPr lang="az-Cyrl-AZ" sz="800" b="0" i="0" u="none" strike="noStrike" baseline="0">
                <a:solidFill>
                  <a:srgbClr val="000000"/>
                </a:solidFill>
                <a:latin typeface="Times New Roman Cyr"/>
                <a:cs typeface="Times New Roman Cyr"/>
              </a:rPr>
              <a:t>н</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sp macro="" textlink="">
        <xdr:nvSpPr>
          <xdr:cNvPr id="2057" name="Text Box 9"/>
          <xdr:cNvSpPr txBox="1">
            <a:spLocks noChangeArrowheads="1"/>
          </xdr:cNvSpPr>
        </xdr:nvSpPr>
        <xdr:spPr bwMode="auto">
          <a:xfrm>
            <a:off x="109547025" y="109061250"/>
            <a:ext cx="390525"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200" b="0" i="0" u="none" strike="noStrike" baseline="0">
                <a:solidFill>
                  <a:srgbClr val="000000"/>
                </a:solidFill>
                <a:latin typeface="Times New Roman Greek"/>
                <a:cs typeface="Times New Roman Greek"/>
              </a:rPr>
              <a:t>τ</a:t>
            </a:r>
            <a:r>
              <a:rPr lang="el-GR" sz="1200" b="0" i="0" u="none" strike="noStrike" baseline="0">
                <a:solidFill>
                  <a:srgbClr val="000000"/>
                </a:solidFill>
                <a:latin typeface="Times New Roman"/>
                <a:cs typeface="Times New Roman"/>
              </a:rPr>
              <a:t>-</a:t>
            </a:r>
            <a:r>
              <a:rPr lang="el-GR" sz="1200" b="0" i="0" u="none" strike="noStrike" baseline="0">
                <a:solidFill>
                  <a:srgbClr val="000000"/>
                </a:solidFill>
                <a:latin typeface="Times New Roman Greek"/>
                <a:cs typeface="Times New Roman Greek"/>
              </a:rPr>
              <a:t>τ</a:t>
            </a:r>
            <a:r>
              <a:rPr lang="az-Cyrl-AZ" sz="800" b="0" i="0" u="none" strike="noStrike" baseline="0">
                <a:solidFill>
                  <a:srgbClr val="000000"/>
                </a:solidFill>
                <a:latin typeface="Times New Roman Cyr"/>
                <a:cs typeface="Times New Roman Cyr"/>
              </a:rPr>
              <a:t>н</a:t>
            </a:r>
            <a:r>
              <a:rPr lang="az-Cyrl-AZ" sz="800" b="0" i="0" u="none" strike="noStrike" baseline="0">
                <a:solidFill>
                  <a:srgbClr val="000000"/>
                </a:solidFill>
                <a:latin typeface="Times New Roman"/>
                <a:cs typeface="Times New Roman"/>
              </a:rPr>
              <a:t>-</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clientData/>
  </xdr:twoCellAnchor>
  <xdr:twoCellAnchor>
    <xdr:from>
      <xdr:col>12</xdr:col>
      <xdr:colOff>9525</xdr:colOff>
      <xdr:row>4</xdr:row>
      <xdr:rowOff>0</xdr:rowOff>
    </xdr:from>
    <xdr:to>
      <xdr:col>20</xdr:col>
      <xdr:colOff>161925</xdr:colOff>
      <xdr:row>22</xdr:row>
      <xdr:rowOff>57150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28575</xdr:colOff>
      <xdr:row>38</xdr:row>
      <xdr:rowOff>104774</xdr:rowOff>
    </xdr:from>
    <xdr:to>
      <xdr:col>12</xdr:col>
      <xdr:colOff>485775</xdr:colOff>
      <xdr:row>63</xdr:row>
      <xdr:rowOff>142875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133350</xdr:colOff>
      <xdr:row>77</xdr:row>
      <xdr:rowOff>171450</xdr:rowOff>
    </xdr:from>
    <xdr:to>
      <xdr:col>18</xdr:col>
      <xdr:colOff>142875</xdr:colOff>
      <xdr:row>90</xdr:row>
      <xdr:rowOff>152400</xdr:rowOff>
    </xdr:to>
    <xdr:pic>
      <xdr:nvPicPr>
        <xdr:cNvPr id="15" name="Picture 3"/>
        <xdr:cNvPicPr>
          <a:picLocks noChangeAspect="1" noChangeArrowheads="1"/>
        </xdr:cNvPicPr>
      </xdr:nvPicPr>
      <xdr:blipFill>
        <a:blip xmlns:r="http://schemas.openxmlformats.org/officeDocument/2006/relationships" r:embed="rId4" cstate="print"/>
        <a:srcRect l="19005" t="22183" r="12102" b="31339"/>
        <a:stretch>
          <a:fillRect/>
        </a:stretch>
      </xdr:blipFill>
      <xdr:spPr bwMode="auto">
        <a:xfrm>
          <a:off x="5619750" y="15801975"/>
          <a:ext cx="6867525" cy="2581275"/>
        </a:xfrm>
        <a:prstGeom prst="rect">
          <a:avLst/>
        </a:prstGeom>
        <a:noFill/>
        <a:ln w="9525" algn="in">
          <a:noFill/>
          <a:miter lim="800000"/>
          <a:headEnd/>
          <a:tailEnd/>
        </a:ln>
        <a:effectLst/>
      </xdr:spPr>
    </xdr:pic>
    <xdr:clientData/>
  </xdr:twoCellAnchor>
  <xdr:twoCellAnchor>
    <xdr:from>
      <xdr:col>0</xdr:col>
      <xdr:colOff>19050</xdr:colOff>
      <xdr:row>75</xdr:row>
      <xdr:rowOff>152400</xdr:rowOff>
    </xdr:from>
    <xdr:to>
      <xdr:col>8</xdr:col>
      <xdr:colOff>152399</xdr:colOff>
      <xdr:row>92</xdr:row>
      <xdr:rowOff>19050</xdr:rowOff>
    </xdr:to>
    <xdr:grpSp>
      <xdr:nvGrpSpPr>
        <xdr:cNvPr id="16" name="Group 1"/>
        <xdr:cNvGrpSpPr>
          <a:grpSpLocks/>
        </xdr:cNvGrpSpPr>
      </xdr:nvGrpSpPr>
      <xdr:grpSpPr bwMode="auto">
        <a:xfrm>
          <a:off x="19050" y="15382875"/>
          <a:ext cx="5619749" cy="3267075"/>
          <a:chOff x="106775250" y="108061125"/>
          <a:chExt cx="7209524" cy="3828571"/>
        </a:xfrm>
      </xdr:grpSpPr>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06775250" y="108061125"/>
            <a:ext cx="7209524" cy="3828571"/>
          </a:xfrm>
          <a:prstGeom prst="rect">
            <a:avLst/>
          </a:prstGeom>
          <a:noFill/>
          <a:ln w="9525" algn="in">
            <a:noFill/>
            <a:miter lim="800000"/>
            <a:headEnd/>
            <a:tailEnd/>
          </a:ln>
          <a:effectLst/>
        </xdr:spPr>
      </xdr:pic>
      <xdr:grpSp>
        <xdr:nvGrpSpPr>
          <xdr:cNvPr id="18" name="Group 17"/>
          <xdr:cNvGrpSpPr>
            <a:grpSpLocks/>
          </xdr:cNvGrpSpPr>
        </xdr:nvGrpSpPr>
        <xdr:grpSpPr bwMode="auto">
          <a:xfrm>
            <a:off x="107461050" y="109604175"/>
            <a:ext cx="5372100" cy="2171700"/>
            <a:chOff x="107461050" y="109604175"/>
            <a:chExt cx="5372100" cy="2171700"/>
          </a:xfrm>
        </xdr:grpSpPr>
        <xdr:sp macro="" textlink="">
          <xdr:nvSpPr>
            <xdr:cNvPr id="19" name="Text Box 4"/>
            <xdr:cNvSpPr txBox="1">
              <a:spLocks noChangeArrowheads="1"/>
            </xdr:cNvSpPr>
          </xdr:nvSpPr>
          <xdr:spPr bwMode="auto">
            <a:xfrm>
              <a:off x="112375950" y="1105185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a</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0" name="Text Box 5"/>
            <xdr:cNvSpPr txBox="1">
              <a:spLocks noChangeArrowheads="1"/>
            </xdr:cNvSpPr>
          </xdr:nvSpPr>
          <xdr:spPr bwMode="auto">
            <a:xfrm>
              <a:off x="110261400" y="11046142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a</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1" name="Text Box 6"/>
            <xdr:cNvSpPr txBox="1">
              <a:spLocks noChangeArrowheads="1"/>
            </xdr:cNvSpPr>
          </xdr:nvSpPr>
          <xdr:spPr bwMode="auto">
            <a:xfrm>
              <a:off x="108889800" y="1101756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b</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2" name="Text Box 7"/>
            <xdr:cNvSpPr txBox="1">
              <a:spLocks noChangeArrowheads="1"/>
            </xdr:cNvSpPr>
          </xdr:nvSpPr>
          <xdr:spPr bwMode="auto">
            <a:xfrm>
              <a:off x="107461050" y="1096041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b</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3" name="Text Box 8"/>
            <xdr:cNvSpPr txBox="1">
              <a:spLocks noChangeArrowheads="1"/>
            </xdr:cNvSpPr>
          </xdr:nvSpPr>
          <xdr:spPr bwMode="auto">
            <a:xfrm>
              <a:off x="111004350" y="1100613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a</a:t>
              </a:r>
              <a:r>
                <a:rPr lang="az-Cyrl-AZ" sz="900" b="1" i="0" u="none" strike="noStrike" baseline="0">
                  <a:solidFill>
                    <a:srgbClr val="000000"/>
                  </a:solidFill>
                  <a:latin typeface="Times New Roman Cyr"/>
                  <a:cs typeface="Times New Roman Cyr"/>
                </a:rPr>
                <a:t>э</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sp macro="" textlink="">
          <xdr:nvSpPr>
            <xdr:cNvPr id="24" name="Text Box 9"/>
            <xdr:cNvSpPr txBox="1">
              <a:spLocks noChangeArrowheads="1"/>
            </xdr:cNvSpPr>
          </xdr:nvSpPr>
          <xdr:spPr bwMode="auto">
            <a:xfrm>
              <a:off x="110890050" y="109604175"/>
              <a:ext cx="3429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H</a:t>
              </a:r>
              <a:r>
                <a:rPr lang="az-Cyrl-AZ" sz="1000" b="0" i="0" u="none" strike="noStrike" baseline="0">
                  <a:solidFill>
                    <a:srgbClr val="000000"/>
                  </a:solidFill>
                  <a:latin typeface="Times New Roman Cyr"/>
                  <a:cs typeface="Times New Roman Cyr"/>
                </a:rPr>
                <a:t>п</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sp macro="" textlink="">
          <xdr:nvSpPr>
            <xdr:cNvPr id="25" name="Text Box 10"/>
            <xdr:cNvSpPr txBox="1">
              <a:spLocks noChangeArrowheads="1"/>
            </xdr:cNvSpPr>
          </xdr:nvSpPr>
          <xdr:spPr bwMode="auto">
            <a:xfrm>
              <a:off x="110832900" y="111547275"/>
              <a:ext cx="3429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H</a:t>
              </a:r>
              <a:r>
                <a:rPr lang="az-Cyrl-AZ" sz="1000" b="0" i="0" u="none" strike="noStrike" baseline="0">
                  <a:solidFill>
                    <a:srgbClr val="000000"/>
                  </a:solidFill>
                  <a:latin typeface="Times New Roman Cyr"/>
                  <a:cs typeface="Times New Roman Cyr"/>
                </a:rPr>
                <a:t>ф</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15</xdr:col>
      <xdr:colOff>238125</xdr:colOff>
      <xdr:row>24</xdr:row>
      <xdr:rowOff>66675</xdr:rowOff>
    </xdr:from>
    <xdr:to>
      <xdr:col>22</xdr:col>
      <xdr:colOff>9525</xdr:colOff>
      <xdr:row>50</xdr:row>
      <xdr:rowOff>123825</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105</xdr:row>
      <xdr:rowOff>190500</xdr:rowOff>
    </xdr:from>
    <xdr:to>
      <xdr:col>2</xdr:col>
      <xdr:colOff>647700</xdr:colOff>
      <xdr:row>108</xdr:row>
      <xdr:rowOff>9525</xdr:rowOff>
    </xdr:to>
    <xdr:sp macro="" textlink="">
      <xdr:nvSpPr>
        <xdr:cNvPr id="29" name="Rectangle 28"/>
        <xdr:cNvSpPr/>
      </xdr:nvSpPr>
      <xdr:spPr>
        <a:xfrm>
          <a:off x="1371600" y="21421725"/>
          <a:ext cx="6477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xdr:col>
      <xdr:colOff>0</xdr:colOff>
      <xdr:row>106</xdr:row>
      <xdr:rowOff>180975</xdr:rowOff>
    </xdr:from>
    <xdr:to>
      <xdr:col>4</xdr:col>
      <xdr:colOff>647700</xdr:colOff>
      <xdr:row>108</xdr:row>
      <xdr:rowOff>200025</xdr:rowOff>
    </xdr:to>
    <xdr:sp macro="" textlink="">
      <xdr:nvSpPr>
        <xdr:cNvPr id="30" name="Rectangle 29"/>
        <xdr:cNvSpPr/>
      </xdr:nvSpPr>
      <xdr:spPr>
        <a:xfrm>
          <a:off x="2743200" y="21612225"/>
          <a:ext cx="6477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38100</xdr:colOff>
      <xdr:row>107</xdr:row>
      <xdr:rowOff>200025</xdr:rowOff>
    </xdr:from>
    <xdr:to>
      <xdr:col>7</xdr:col>
      <xdr:colOff>0</xdr:colOff>
      <xdr:row>110</xdr:row>
      <xdr:rowOff>9525</xdr:rowOff>
    </xdr:to>
    <xdr:sp macro="" textlink="">
      <xdr:nvSpPr>
        <xdr:cNvPr id="31" name="Rectangle 30"/>
        <xdr:cNvSpPr/>
      </xdr:nvSpPr>
      <xdr:spPr>
        <a:xfrm>
          <a:off x="4152900" y="21831300"/>
          <a:ext cx="6477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0</xdr:colOff>
      <xdr:row>109</xdr:row>
      <xdr:rowOff>9525</xdr:rowOff>
    </xdr:from>
    <xdr:to>
      <xdr:col>9</xdr:col>
      <xdr:colOff>0</xdr:colOff>
      <xdr:row>111</xdr:row>
      <xdr:rowOff>38100</xdr:rowOff>
    </xdr:to>
    <xdr:sp macro="" textlink="">
      <xdr:nvSpPr>
        <xdr:cNvPr id="32" name="Rectangle 31"/>
        <xdr:cNvSpPr/>
      </xdr:nvSpPr>
      <xdr:spPr>
        <a:xfrm>
          <a:off x="5486400" y="22059900"/>
          <a:ext cx="6858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19050</xdr:colOff>
      <xdr:row>110</xdr:row>
      <xdr:rowOff>19051</xdr:rowOff>
    </xdr:from>
    <xdr:to>
      <xdr:col>10</xdr:col>
      <xdr:colOff>676275</xdr:colOff>
      <xdr:row>112</xdr:row>
      <xdr:rowOff>57151</xdr:rowOff>
    </xdr:to>
    <xdr:sp macro="" textlink="">
      <xdr:nvSpPr>
        <xdr:cNvPr id="33" name="Rectangle 32"/>
        <xdr:cNvSpPr/>
      </xdr:nvSpPr>
      <xdr:spPr>
        <a:xfrm>
          <a:off x="6877050" y="22364701"/>
          <a:ext cx="657225" cy="438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9525</xdr:colOff>
      <xdr:row>112</xdr:row>
      <xdr:rowOff>19050</xdr:rowOff>
    </xdr:from>
    <xdr:to>
      <xdr:col>13</xdr:col>
      <xdr:colOff>0</xdr:colOff>
      <xdr:row>114</xdr:row>
      <xdr:rowOff>47625</xdr:rowOff>
    </xdr:to>
    <xdr:sp macro="" textlink="">
      <xdr:nvSpPr>
        <xdr:cNvPr id="34" name="Rectangle 33"/>
        <xdr:cNvSpPr/>
      </xdr:nvSpPr>
      <xdr:spPr>
        <a:xfrm>
          <a:off x="8239125" y="22669500"/>
          <a:ext cx="67627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9525</xdr:colOff>
      <xdr:row>115</xdr:row>
      <xdr:rowOff>19051</xdr:rowOff>
    </xdr:from>
    <xdr:to>
      <xdr:col>15</xdr:col>
      <xdr:colOff>9525</xdr:colOff>
      <xdr:row>117</xdr:row>
      <xdr:rowOff>76201</xdr:rowOff>
    </xdr:to>
    <xdr:sp macro="" textlink="">
      <xdr:nvSpPr>
        <xdr:cNvPr id="35" name="Rectangle 34"/>
        <xdr:cNvSpPr/>
      </xdr:nvSpPr>
      <xdr:spPr>
        <a:xfrm>
          <a:off x="9610725" y="23364826"/>
          <a:ext cx="685800" cy="457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19050</xdr:colOff>
      <xdr:row>115</xdr:row>
      <xdr:rowOff>0</xdr:rowOff>
    </xdr:from>
    <xdr:to>
      <xdr:col>16</xdr:col>
      <xdr:colOff>676275</xdr:colOff>
      <xdr:row>117</xdr:row>
      <xdr:rowOff>28575</xdr:rowOff>
    </xdr:to>
    <xdr:sp macro="" textlink="">
      <xdr:nvSpPr>
        <xdr:cNvPr id="36" name="Rectangle 35"/>
        <xdr:cNvSpPr/>
      </xdr:nvSpPr>
      <xdr:spPr>
        <a:xfrm>
          <a:off x="10991850" y="23345775"/>
          <a:ext cx="65722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285750</xdr:colOff>
      <xdr:row>106</xdr:row>
      <xdr:rowOff>133350</xdr:rowOff>
    </xdr:from>
    <xdr:to>
      <xdr:col>2</xdr:col>
      <xdr:colOff>390525</xdr:colOff>
      <xdr:row>107</xdr:row>
      <xdr:rowOff>28575</xdr:rowOff>
    </xdr:to>
    <xdr:sp macro="" textlink="">
      <xdr:nvSpPr>
        <xdr:cNvPr id="37" name="Oval 36"/>
        <xdr:cNvSpPr/>
      </xdr:nvSpPr>
      <xdr:spPr>
        <a:xfrm>
          <a:off x="1657350" y="2156460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xdr:col>
      <xdr:colOff>247650</xdr:colOff>
      <xdr:row>107</xdr:row>
      <xdr:rowOff>142875</xdr:rowOff>
    </xdr:from>
    <xdr:to>
      <xdr:col>4</xdr:col>
      <xdr:colOff>352425</xdr:colOff>
      <xdr:row>108</xdr:row>
      <xdr:rowOff>28575</xdr:rowOff>
    </xdr:to>
    <xdr:sp macro="" textlink="">
      <xdr:nvSpPr>
        <xdr:cNvPr id="38" name="Oval 37"/>
        <xdr:cNvSpPr/>
      </xdr:nvSpPr>
      <xdr:spPr>
        <a:xfrm>
          <a:off x="2990850" y="2177415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314325</xdr:colOff>
      <xdr:row>108</xdr:row>
      <xdr:rowOff>142875</xdr:rowOff>
    </xdr:from>
    <xdr:to>
      <xdr:col>6</xdr:col>
      <xdr:colOff>419100</xdr:colOff>
      <xdr:row>109</xdr:row>
      <xdr:rowOff>28575</xdr:rowOff>
    </xdr:to>
    <xdr:sp macro="" textlink="">
      <xdr:nvSpPr>
        <xdr:cNvPr id="39" name="Oval 38"/>
        <xdr:cNvSpPr/>
      </xdr:nvSpPr>
      <xdr:spPr>
        <a:xfrm>
          <a:off x="4429125" y="2198370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257175</xdr:colOff>
      <xdr:row>109</xdr:row>
      <xdr:rowOff>152400</xdr:rowOff>
    </xdr:from>
    <xdr:to>
      <xdr:col>8</xdr:col>
      <xdr:colOff>361950</xdr:colOff>
      <xdr:row>110</xdr:row>
      <xdr:rowOff>47625</xdr:rowOff>
    </xdr:to>
    <xdr:sp macro="" textlink="">
      <xdr:nvSpPr>
        <xdr:cNvPr id="40" name="Oval 39"/>
        <xdr:cNvSpPr/>
      </xdr:nvSpPr>
      <xdr:spPr>
        <a:xfrm>
          <a:off x="5743575" y="22202775"/>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295275</xdr:colOff>
      <xdr:row>110</xdr:row>
      <xdr:rowOff>161925</xdr:rowOff>
    </xdr:from>
    <xdr:to>
      <xdr:col>10</xdr:col>
      <xdr:colOff>400050</xdr:colOff>
      <xdr:row>111</xdr:row>
      <xdr:rowOff>57150</xdr:rowOff>
    </xdr:to>
    <xdr:sp macro="" textlink="">
      <xdr:nvSpPr>
        <xdr:cNvPr id="41" name="Oval 40"/>
        <xdr:cNvSpPr/>
      </xdr:nvSpPr>
      <xdr:spPr>
        <a:xfrm>
          <a:off x="7153275" y="22412325"/>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276225</xdr:colOff>
      <xdr:row>112</xdr:row>
      <xdr:rowOff>161925</xdr:rowOff>
    </xdr:from>
    <xdr:to>
      <xdr:col>12</xdr:col>
      <xdr:colOff>381000</xdr:colOff>
      <xdr:row>113</xdr:row>
      <xdr:rowOff>57150</xdr:rowOff>
    </xdr:to>
    <xdr:sp macro="" textlink="">
      <xdr:nvSpPr>
        <xdr:cNvPr id="42" name="Oval 41"/>
        <xdr:cNvSpPr/>
      </xdr:nvSpPr>
      <xdr:spPr>
        <a:xfrm>
          <a:off x="8505825" y="22812375"/>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285750</xdr:colOff>
      <xdr:row>115</xdr:row>
      <xdr:rowOff>180975</xdr:rowOff>
    </xdr:from>
    <xdr:to>
      <xdr:col>14</xdr:col>
      <xdr:colOff>390525</xdr:colOff>
      <xdr:row>116</xdr:row>
      <xdr:rowOff>76200</xdr:rowOff>
    </xdr:to>
    <xdr:sp macro="" textlink="">
      <xdr:nvSpPr>
        <xdr:cNvPr id="43" name="Oval 42"/>
        <xdr:cNvSpPr/>
      </xdr:nvSpPr>
      <xdr:spPr>
        <a:xfrm>
          <a:off x="9886950" y="2343150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295275</xdr:colOff>
      <xdr:row>115</xdr:row>
      <xdr:rowOff>161925</xdr:rowOff>
    </xdr:from>
    <xdr:to>
      <xdr:col>16</xdr:col>
      <xdr:colOff>400050</xdr:colOff>
      <xdr:row>116</xdr:row>
      <xdr:rowOff>57150</xdr:rowOff>
    </xdr:to>
    <xdr:sp macro="" textlink="">
      <xdr:nvSpPr>
        <xdr:cNvPr id="44" name="Oval 43"/>
        <xdr:cNvSpPr/>
      </xdr:nvSpPr>
      <xdr:spPr>
        <a:xfrm>
          <a:off x="11268075" y="2341245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126</xdr:row>
      <xdr:rowOff>180975</xdr:rowOff>
    </xdr:from>
    <xdr:to>
      <xdr:col>7</xdr:col>
      <xdr:colOff>390525</xdr:colOff>
      <xdr:row>152</xdr:row>
      <xdr:rowOff>200026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155</xdr:row>
      <xdr:rowOff>0</xdr:rowOff>
    </xdr:from>
    <xdr:to>
      <xdr:col>7</xdr:col>
      <xdr:colOff>390525</xdr:colOff>
      <xdr:row>181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657225</xdr:colOff>
      <xdr:row>201</xdr:row>
      <xdr:rowOff>28575</xdr:rowOff>
    </xdr:from>
    <xdr:to>
      <xdr:col>8</xdr:col>
      <xdr:colOff>676275</xdr:colOff>
      <xdr:row>219</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223</xdr:row>
      <xdr:rowOff>19050</xdr:rowOff>
    </xdr:from>
    <xdr:to>
      <xdr:col>7</xdr:col>
      <xdr:colOff>676275</xdr:colOff>
      <xdr:row>242</xdr:row>
      <xdr:rowOff>95251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V428"/>
  <sheetViews>
    <sheetView topLeftCell="D330" workbookViewId="0">
      <selection activeCell="J209" sqref="J209"/>
    </sheetView>
  </sheetViews>
  <sheetFormatPr defaultRowHeight="15.75"/>
  <cols>
    <col min="2" max="2" width="9.875" bestFit="1" customWidth="1"/>
    <col min="3" max="3" width="17.25" customWidth="1"/>
    <col min="5" max="5" width="9.5" customWidth="1"/>
    <col min="6" max="6" width="24.25" customWidth="1"/>
    <col min="7" max="7" width="8" customWidth="1"/>
    <col min="12" max="12" width="9.875" bestFit="1" customWidth="1"/>
    <col min="13" max="13" width="12.125" bestFit="1" customWidth="1"/>
    <col min="17" max="17" width="12.125" bestFit="1" customWidth="1"/>
  </cols>
  <sheetData>
    <row r="1" spans="1:22" ht="20.25">
      <c r="A1" s="324" t="s">
        <v>528</v>
      </c>
      <c r="B1" s="3">
        <f>Sheet3!L89</f>
        <v>3</v>
      </c>
      <c r="C1" s="4" t="s">
        <v>28</v>
      </c>
      <c r="D1" s="325" t="s">
        <v>535</v>
      </c>
      <c r="E1" s="66">
        <f>Sheet3!K56</f>
        <v>0.56000000000000005</v>
      </c>
      <c r="F1" s="47" t="s">
        <v>248</v>
      </c>
      <c r="G1" s="322" t="s">
        <v>542</v>
      </c>
      <c r="H1" s="65">
        <f>Sheet3!K55</f>
        <v>0.6</v>
      </c>
      <c r="I1" s="534" t="s">
        <v>93</v>
      </c>
      <c r="J1" s="424"/>
      <c r="K1" s="106" t="s">
        <v>229</v>
      </c>
      <c r="L1" s="130">
        <v>50</v>
      </c>
      <c r="M1" s="546" t="s">
        <v>161</v>
      </c>
      <c r="N1" s="547"/>
      <c r="O1" s="145" t="s">
        <v>230</v>
      </c>
      <c r="P1" s="130">
        <v>20</v>
      </c>
      <c r="Q1" s="131" t="s">
        <v>162</v>
      </c>
    </row>
    <row r="2" spans="1:22" ht="20.25">
      <c r="A2" s="318" t="s">
        <v>529</v>
      </c>
      <c r="B2" s="5">
        <f>Sheet3!N89</f>
        <v>5</v>
      </c>
      <c r="C2" s="6" t="s">
        <v>29</v>
      </c>
      <c r="D2" s="321" t="s">
        <v>536</v>
      </c>
      <c r="E2" s="65">
        <f>Sheet3!K54</f>
        <v>0.32</v>
      </c>
      <c r="F2" s="147" t="s">
        <v>247</v>
      </c>
      <c r="G2" s="322" t="s">
        <v>92</v>
      </c>
      <c r="H2" s="65">
        <v>3</v>
      </c>
      <c r="I2" s="434" t="s">
        <v>249</v>
      </c>
      <c r="J2" s="535"/>
      <c r="K2" s="322" t="s">
        <v>92</v>
      </c>
      <c r="L2" s="65">
        <v>5</v>
      </c>
      <c r="M2" s="434" t="s">
        <v>210</v>
      </c>
      <c r="N2" s="435"/>
    </row>
    <row r="3" spans="1:22" ht="20.25">
      <c r="A3" s="318" t="s">
        <v>530</v>
      </c>
      <c r="B3" s="5">
        <f>Sheet3!P89</f>
        <v>4</v>
      </c>
      <c r="C3" s="6" t="s">
        <v>30</v>
      </c>
      <c r="D3" s="68" t="s">
        <v>148</v>
      </c>
      <c r="E3" s="65">
        <f>Sheet3!Q94</f>
        <v>1500</v>
      </c>
      <c r="F3" s="92" t="s">
        <v>150</v>
      </c>
      <c r="G3" s="322" t="s">
        <v>522</v>
      </c>
      <c r="H3" s="65">
        <v>3</v>
      </c>
      <c r="I3" s="434" t="s">
        <v>249</v>
      </c>
      <c r="J3" s="535"/>
      <c r="K3" s="322" t="s">
        <v>522</v>
      </c>
      <c r="L3" s="65">
        <v>3</v>
      </c>
      <c r="M3" s="434" t="s">
        <v>210</v>
      </c>
      <c r="N3" s="435"/>
    </row>
    <row r="4" spans="1:22" ht="18.75">
      <c r="A4" s="318" t="s">
        <v>0</v>
      </c>
      <c r="B4" s="5">
        <f>Sheet3!E23</f>
        <v>441</v>
      </c>
      <c r="C4" s="6" t="s">
        <v>6</v>
      </c>
      <c r="D4" s="68" t="s">
        <v>151</v>
      </c>
      <c r="E4" s="65">
        <f>Sheet3!N94</f>
        <v>1500</v>
      </c>
      <c r="F4" s="92" t="s">
        <v>152</v>
      </c>
      <c r="G4" s="336" t="s">
        <v>555</v>
      </c>
      <c r="H4" s="70">
        <f>Sheet3!I121</f>
        <v>2.5000000000000001E-2</v>
      </c>
      <c r="I4" s="517" t="s">
        <v>99</v>
      </c>
      <c r="J4" s="518"/>
      <c r="K4" s="337" t="s">
        <v>214</v>
      </c>
      <c r="L4" s="127">
        <f>Sheet3!I122</f>
        <v>8.9999999999999993E-3</v>
      </c>
      <c r="M4" s="517" t="s">
        <v>213</v>
      </c>
      <c r="N4" s="527"/>
    </row>
    <row r="5" spans="1:22" ht="20.25">
      <c r="A5" s="318" t="s">
        <v>515</v>
      </c>
      <c r="B5" s="5">
        <f>Sheet3!G23</f>
        <v>1.92</v>
      </c>
      <c r="C5" s="6" t="s">
        <v>31</v>
      </c>
      <c r="D5" s="320" t="s">
        <v>5</v>
      </c>
      <c r="E5" s="65">
        <f>Sheet3!M23</f>
        <v>215</v>
      </c>
      <c r="F5" s="48" t="s">
        <v>27</v>
      </c>
      <c r="G5" s="336" t="s">
        <v>556</v>
      </c>
      <c r="H5" s="70">
        <f>Sheet3!M121</f>
        <v>1.4999999999999999E-2</v>
      </c>
      <c r="I5" s="517" t="s">
        <v>99</v>
      </c>
      <c r="J5" s="518"/>
      <c r="K5" s="337" t="s">
        <v>215</v>
      </c>
      <c r="L5" s="127">
        <f>Sheet3!M122</f>
        <v>1E-3</v>
      </c>
      <c r="M5" s="517" t="s">
        <v>213</v>
      </c>
      <c r="N5" s="527"/>
    </row>
    <row r="6" spans="1:22" ht="20.25">
      <c r="A6" s="319" t="s">
        <v>516</v>
      </c>
      <c r="B6" s="5">
        <f>Sheet3!I23</f>
        <v>5.3</v>
      </c>
      <c r="C6" s="6" t="s">
        <v>7</v>
      </c>
      <c r="D6" s="326" t="s">
        <v>537</v>
      </c>
      <c r="E6" s="63">
        <f>Sheet3!B89</f>
        <v>0.5</v>
      </c>
      <c r="F6" s="48" t="s">
        <v>26</v>
      </c>
      <c r="G6" s="336" t="s">
        <v>95</v>
      </c>
      <c r="H6" s="70">
        <f>Sheet3!C116</f>
        <v>1</v>
      </c>
      <c r="I6" s="517" t="s">
        <v>99</v>
      </c>
      <c r="J6" s="518"/>
      <c r="K6" s="336" t="s">
        <v>95</v>
      </c>
      <c r="L6" s="127">
        <f>Sheet3!C117</f>
        <v>1.1000000000000001</v>
      </c>
      <c r="M6" s="517" t="s">
        <v>213</v>
      </c>
      <c r="N6" s="527"/>
    </row>
    <row r="7" spans="1:22" ht="21" thickBot="1">
      <c r="A7" s="319" t="s">
        <v>517</v>
      </c>
      <c r="B7" s="5">
        <f>Sheet3!F23</f>
        <v>3.01</v>
      </c>
      <c r="C7" s="6" t="s">
        <v>32</v>
      </c>
      <c r="D7" s="321" t="s">
        <v>65</v>
      </c>
      <c r="E7" s="63">
        <f>Sheet3!C32</f>
        <v>350</v>
      </c>
      <c r="F7" s="48" t="s">
        <v>25</v>
      </c>
      <c r="G7" s="329" t="s">
        <v>543</v>
      </c>
      <c r="H7" s="52">
        <f>Sheet3!F69</f>
        <v>125</v>
      </c>
      <c r="I7" s="426" t="s">
        <v>224</v>
      </c>
      <c r="J7" s="427"/>
      <c r="K7" s="329" t="s">
        <v>545</v>
      </c>
      <c r="L7" s="128">
        <f>Sheet3!F68</f>
        <v>500</v>
      </c>
      <c r="M7" s="536" t="s">
        <v>225</v>
      </c>
      <c r="N7" s="537"/>
    </row>
    <row r="8" spans="1:22" ht="21" thickBot="1">
      <c r="A8" s="319" t="s">
        <v>518</v>
      </c>
      <c r="B8" s="5">
        <f>Sheet3!K23</f>
        <v>2</v>
      </c>
      <c r="C8" s="6" t="s">
        <v>8</v>
      </c>
      <c r="D8" s="321" t="s">
        <v>10</v>
      </c>
      <c r="E8" s="63">
        <f>Sheet3!F32</f>
        <v>20</v>
      </c>
      <c r="F8" s="48" t="s">
        <v>24</v>
      </c>
      <c r="G8" s="329" t="s">
        <v>544</v>
      </c>
      <c r="H8" s="153">
        <f>Sheet3!I69</f>
        <v>3</v>
      </c>
      <c r="I8" s="339" t="s">
        <v>559</v>
      </c>
      <c r="J8" s="117">
        <f>H7/H8</f>
        <v>41.666666666666664</v>
      </c>
      <c r="K8" s="330" t="s">
        <v>546</v>
      </c>
      <c r="L8" s="128">
        <f>Sheet3!I68</f>
        <v>2</v>
      </c>
      <c r="M8" s="340" t="s">
        <v>560</v>
      </c>
      <c r="N8" s="146">
        <f>L7/L8</f>
        <v>250</v>
      </c>
    </row>
    <row r="9" spans="1:22" ht="20.25">
      <c r="A9" s="319" t="s">
        <v>531</v>
      </c>
      <c r="B9" s="5">
        <f>Sheet3!H89</f>
        <v>0.5</v>
      </c>
      <c r="C9" s="157" t="s">
        <v>33</v>
      </c>
      <c r="D9" s="320" t="s">
        <v>521</v>
      </c>
      <c r="E9" s="63">
        <v>1.25</v>
      </c>
      <c r="F9" s="48" t="s">
        <v>13</v>
      </c>
      <c r="G9" s="338" t="s">
        <v>557</v>
      </c>
      <c r="H9" s="71">
        <f>Sheet3!K135</f>
        <v>180</v>
      </c>
      <c r="I9" s="519" t="s">
        <v>126</v>
      </c>
      <c r="J9" s="520"/>
      <c r="K9" s="338" t="s">
        <v>558</v>
      </c>
      <c r="L9" s="126">
        <f>Sheet3!K137</f>
        <v>580</v>
      </c>
      <c r="M9" s="521" t="s">
        <v>218</v>
      </c>
      <c r="N9" s="527"/>
    </row>
    <row r="10" spans="1:22" ht="20.25">
      <c r="A10" s="7" t="s">
        <v>1</v>
      </c>
      <c r="B10" s="5">
        <v>0.3</v>
      </c>
      <c r="C10" s="157" t="s">
        <v>34</v>
      </c>
      <c r="D10" s="320" t="s">
        <v>540</v>
      </c>
      <c r="E10" s="63">
        <f>Sheet3!I54</f>
        <v>0.13</v>
      </c>
      <c r="F10" s="237" t="s">
        <v>527</v>
      </c>
      <c r="G10" s="338" t="s">
        <v>561</v>
      </c>
      <c r="H10" s="71">
        <f>Sheet3!K163</f>
        <v>80</v>
      </c>
      <c r="I10" s="521" t="s">
        <v>126</v>
      </c>
      <c r="J10" s="518"/>
      <c r="K10" s="338" t="s">
        <v>562</v>
      </c>
      <c r="L10" s="126">
        <f>Sheet3!K165</f>
        <v>290</v>
      </c>
      <c r="M10" s="521" t="s">
        <v>218</v>
      </c>
      <c r="N10" s="527"/>
    </row>
    <row r="11" spans="1:22" ht="20.25">
      <c r="A11" s="319" t="s">
        <v>532</v>
      </c>
      <c r="B11" s="5">
        <f>Sheet3!F89</f>
        <v>0.45</v>
      </c>
      <c r="C11" s="6" t="s">
        <v>35</v>
      </c>
      <c r="D11" s="320" t="s">
        <v>519</v>
      </c>
      <c r="E11" s="63">
        <f>Sheet3!H23</f>
        <v>0.36</v>
      </c>
      <c r="F11" s="48" t="s">
        <v>23</v>
      </c>
      <c r="G11" s="331" t="s">
        <v>4</v>
      </c>
      <c r="H11" s="52">
        <f>Sheet3!Q79</f>
        <v>2100000</v>
      </c>
      <c r="I11" s="424" t="s">
        <v>250</v>
      </c>
      <c r="J11" s="425"/>
      <c r="K11" s="322" t="s">
        <v>226</v>
      </c>
      <c r="L11" s="65">
        <f>Sheet3!J68</f>
        <v>0.55000000000000004</v>
      </c>
      <c r="M11" s="434" t="s">
        <v>251</v>
      </c>
      <c r="N11" s="435"/>
    </row>
    <row r="12" spans="1:22" ht="20.25">
      <c r="A12" s="319" t="s">
        <v>533</v>
      </c>
      <c r="B12" s="5">
        <f>Sheet3!J89</f>
        <v>0.75</v>
      </c>
      <c r="C12" s="6" t="s">
        <v>36</v>
      </c>
      <c r="D12" s="320" t="s">
        <v>520</v>
      </c>
      <c r="E12" s="63">
        <f>Sheet3!M29</f>
        <v>1.639</v>
      </c>
      <c r="F12" s="49" t="s">
        <v>38</v>
      </c>
      <c r="G12" s="329" t="s">
        <v>135</v>
      </c>
      <c r="H12" s="52">
        <f>Sheet3!D89</f>
        <v>1.2E-2</v>
      </c>
      <c r="I12" s="482" t="s">
        <v>246</v>
      </c>
      <c r="J12" s="483"/>
      <c r="K12" s="332" t="s">
        <v>553</v>
      </c>
      <c r="L12" s="148">
        <f>Sheet3!D69</f>
        <v>150</v>
      </c>
      <c r="M12" s="434" t="s">
        <v>357</v>
      </c>
      <c r="N12" s="435"/>
    </row>
    <row r="13" spans="1:22" ht="21" thickBot="1">
      <c r="A13" s="319" t="s">
        <v>534</v>
      </c>
      <c r="B13" s="5">
        <f>Sheet3!G56</f>
        <v>1.7999999999999999E-6</v>
      </c>
      <c r="C13" s="6" t="s">
        <v>9</v>
      </c>
      <c r="D13" s="68" t="s">
        <v>96</v>
      </c>
      <c r="E13" s="63"/>
      <c r="F13" s="49" t="s">
        <v>50</v>
      </c>
      <c r="G13" s="107" t="s">
        <v>139</v>
      </c>
      <c r="H13" s="52">
        <v>1</v>
      </c>
      <c r="I13" s="484" t="s">
        <v>140</v>
      </c>
      <c r="J13" s="482"/>
      <c r="K13" s="332" t="s">
        <v>553</v>
      </c>
      <c r="L13" s="148">
        <f>Sheet3!D68</f>
        <v>180</v>
      </c>
      <c r="M13" s="538" t="s">
        <v>358</v>
      </c>
      <c r="N13" s="539"/>
    </row>
    <row r="14" spans="1:22" ht="21" thickBot="1">
      <c r="A14" s="319" t="s">
        <v>526</v>
      </c>
      <c r="B14" s="5">
        <f>Sheet3!G57</f>
        <v>7.9999999999999996E-7</v>
      </c>
      <c r="C14" s="6" t="s">
        <v>524</v>
      </c>
      <c r="D14" s="67" t="s">
        <v>97</v>
      </c>
      <c r="E14" s="63"/>
      <c r="F14" s="49" t="s">
        <v>51</v>
      </c>
      <c r="G14" s="331" t="s">
        <v>547</v>
      </c>
      <c r="H14" s="52">
        <f>Sheet3!O79</f>
        <v>3000</v>
      </c>
      <c r="I14" s="484" t="s">
        <v>144</v>
      </c>
      <c r="J14" s="485"/>
      <c r="K14" s="319" t="s">
        <v>525</v>
      </c>
      <c r="L14" s="323">
        <f>Sheet3!G54</f>
        <v>7.9999999999999996E-7</v>
      </c>
      <c r="M14" s="540" t="s">
        <v>523</v>
      </c>
      <c r="N14" s="541"/>
      <c r="T14" s="529"/>
      <c r="U14" s="529"/>
      <c r="V14" s="529"/>
    </row>
    <row r="15" spans="1:22" ht="20.25">
      <c r="A15" s="7" t="s">
        <v>2</v>
      </c>
      <c r="B15" s="5">
        <f>Sheet3!R94</f>
        <v>2500</v>
      </c>
      <c r="C15" s="6" t="s">
        <v>37</v>
      </c>
      <c r="D15" s="328" t="s">
        <v>541</v>
      </c>
      <c r="E15" s="63">
        <v>1.1000000000000001</v>
      </c>
      <c r="F15" s="48" t="s">
        <v>52</v>
      </c>
      <c r="G15" s="331" t="s">
        <v>548</v>
      </c>
      <c r="H15" s="52">
        <f>Sheet3!F77</f>
        <v>200</v>
      </c>
      <c r="I15" s="484" t="s">
        <v>145</v>
      </c>
      <c r="J15" s="485"/>
    </row>
    <row r="16" spans="1:22" ht="21" thickBot="1">
      <c r="A16" s="7" t="s">
        <v>3</v>
      </c>
      <c r="B16" s="5">
        <f>Sheet3!P94</f>
        <v>1700</v>
      </c>
      <c r="C16" s="6" t="s">
        <v>149</v>
      </c>
      <c r="D16" s="69" t="s">
        <v>98</v>
      </c>
      <c r="E16" s="64">
        <v>1.65</v>
      </c>
      <c r="F16" s="50" t="s">
        <v>53</v>
      </c>
      <c r="G16" s="336" t="s">
        <v>554</v>
      </c>
      <c r="H16" s="72">
        <f>Sheet3!F109</f>
        <v>0.35</v>
      </c>
      <c r="I16" s="533" t="s">
        <v>100</v>
      </c>
      <c r="J16" s="533"/>
      <c r="K16" s="533"/>
      <c r="L16" s="533"/>
    </row>
    <row r="17" spans="1:19" ht="21" thickBot="1">
      <c r="A17" s="525" t="s">
        <v>12</v>
      </c>
      <c r="B17" s="526"/>
      <c r="C17" s="526"/>
      <c r="D17" s="526"/>
      <c r="E17" s="526"/>
      <c r="F17" s="526"/>
      <c r="G17" s="341" t="s">
        <v>549</v>
      </c>
      <c r="H17" s="235">
        <f>Sheet3!E194</f>
        <v>1.18</v>
      </c>
      <c r="I17" s="236" t="s">
        <v>252</v>
      </c>
      <c r="J17" s="341" t="s">
        <v>549</v>
      </c>
      <c r="K17" s="235">
        <f>Sheet3!E195</f>
        <v>1.18</v>
      </c>
      <c r="L17" s="235" t="s">
        <v>254</v>
      </c>
    </row>
    <row r="18" spans="1:19" ht="20.25">
      <c r="A18" s="1"/>
      <c r="G18" s="341" t="s">
        <v>563</v>
      </c>
      <c r="H18" s="235">
        <f>Sheet3!E192</f>
        <v>1.25</v>
      </c>
      <c r="I18" s="236" t="s">
        <v>253</v>
      </c>
      <c r="J18" s="341" t="s">
        <v>563</v>
      </c>
      <c r="K18" s="235">
        <f>Sheet3!E193</f>
        <v>1.25</v>
      </c>
      <c r="L18" s="235" t="s">
        <v>255</v>
      </c>
    </row>
    <row r="19" spans="1:19" ht="20.25">
      <c r="A19" s="1"/>
      <c r="G19" s="108"/>
      <c r="H19" s="65"/>
      <c r="I19" s="93"/>
    </row>
    <row r="20" spans="1:19" ht="20.25">
      <c r="A20" s="1"/>
      <c r="G20" s="108"/>
      <c r="H20" s="65"/>
      <c r="I20" s="93"/>
    </row>
    <row r="21" spans="1:19">
      <c r="G21" s="331" t="s">
        <v>550</v>
      </c>
      <c r="H21" s="99">
        <f>Sheet3!M84</f>
        <v>492.25000000000006</v>
      </c>
      <c r="I21" s="100" t="s">
        <v>164</v>
      </c>
    </row>
    <row r="22" spans="1:19">
      <c r="G22" s="336" t="s">
        <v>233</v>
      </c>
      <c r="H22" s="70">
        <f>Sheet3!L208</f>
        <v>0.8</v>
      </c>
      <c r="I22" s="499" t="s">
        <v>166</v>
      </c>
      <c r="J22" s="499"/>
      <c r="K22" s="499"/>
      <c r="L22" s="499"/>
    </row>
    <row r="23" spans="1:19">
      <c r="G23" s="336" t="s">
        <v>239</v>
      </c>
      <c r="H23" s="70">
        <f>Sheet3!K229</f>
        <v>0.92</v>
      </c>
      <c r="I23" s="431" t="s">
        <v>173</v>
      </c>
      <c r="J23" s="432"/>
      <c r="K23" s="432"/>
      <c r="L23" s="433"/>
    </row>
    <row r="24" spans="1:19">
      <c r="G24" s="336" t="s">
        <v>554</v>
      </c>
      <c r="H24" s="72">
        <f>Sheet3!F110</f>
        <v>0.9</v>
      </c>
      <c r="I24" s="533" t="s">
        <v>211</v>
      </c>
      <c r="J24" s="533"/>
      <c r="K24" s="533"/>
      <c r="L24" s="533"/>
    </row>
    <row r="25" spans="1:19">
      <c r="G25" s="336" t="s">
        <v>234</v>
      </c>
      <c r="H25" s="142">
        <f>Sheet3!L209</f>
        <v>1</v>
      </c>
      <c r="I25" s="499" t="s">
        <v>235</v>
      </c>
      <c r="J25" s="499"/>
      <c r="K25" s="499"/>
      <c r="L25" s="499"/>
    </row>
    <row r="26" spans="1:19">
      <c r="G26" s="336" t="s">
        <v>240</v>
      </c>
      <c r="H26" s="142">
        <f>Sheet3!K230</f>
        <v>1</v>
      </c>
      <c r="I26" s="431" t="s">
        <v>241</v>
      </c>
      <c r="J26" s="432"/>
      <c r="K26" s="432"/>
      <c r="L26" s="433"/>
    </row>
    <row r="32" spans="1:19">
      <c r="S32" s="24"/>
    </row>
    <row r="33" spans="1:19" ht="16.5" thickBot="1">
      <c r="S33" s="24"/>
    </row>
    <row r="34" spans="1:19" ht="16.5" thickBot="1">
      <c r="K34" s="522" t="s">
        <v>17</v>
      </c>
      <c r="L34" s="523"/>
      <c r="M34" s="523"/>
      <c r="N34" s="523"/>
      <c r="O34" s="524"/>
      <c r="P34" s="12">
        <v>1</v>
      </c>
      <c r="S34" s="24"/>
    </row>
    <row r="35" spans="1:19" ht="16.5" thickBot="1">
      <c r="S35" s="24"/>
    </row>
    <row r="36" spans="1:19" ht="16.5" thickBot="1">
      <c r="K36" s="522" t="s">
        <v>15</v>
      </c>
      <c r="L36" s="523"/>
      <c r="M36" s="523"/>
      <c r="N36" s="523"/>
      <c r="O36" s="524"/>
      <c r="P36" s="9">
        <v>2</v>
      </c>
      <c r="S36" s="24"/>
    </row>
    <row r="37" spans="1:19" ht="16.5" thickBot="1">
      <c r="D37" s="423"/>
      <c r="E37" s="423"/>
      <c r="S37" s="24"/>
    </row>
    <row r="38" spans="1:19" ht="21" thickBot="1">
      <c r="B38" s="10"/>
      <c r="C38" s="11" t="s">
        <v>16</v>
      </c>
      <c r="D38" s="11"/>
      <c r="E38" s="528"/>
      <c r="F38" s="528"/>
      <c r="G38" s="11"/>
      <c r="H38" s="11"/>
      <c r="I38" s="11"/>
      <c r="J38" s="11"/>
      <c r="K38" s="542" t="s">
        <v>607</v>
      </c>
      <c r="L38" s="542"/>
      <c r="M38" s="542"/>
      <c r="N38" s="542"/>
      <c r="O38" s="542"/>
      <c r="P38" s="542"/>
      <c r="Q38" s="417">
        <f>IF(B6&gt;3,E39+E9*(N43-N45),E39+E9*(N41-N45))</f>
        <v>1.0721670569006998</v>
      </c>
      <c r="R38" t="s">
        <v>42</v>
      </c>
      <c r="S38" s="24"/>
    </row>
    <row r="39" spans="1:19" ht="20.25">
      <c r="D39" s="81" t="s">
        <v>498</v>
      </c>
      <c r="E39" s="372">
        <f>E40*E41*B14*(B4/(E11)^2)*E7*COS((0.5*E8+0.5*E8*E42)*(3.14/180))</f>
        <v>1.1881634104427943</v>
      </c>
      <c r="F39" s="31" t="s">
        <v>608</v>
      </c>
      <c r="G39" s="32"/>
      <c r="H39" s="35"/>
      <c r="I39" s="423" t="s">
        <v>116</v>
      </c>
      <c r="J39" s="423"/>
      <c r="K39" s="423"/>
      <c r="L39" s="423"/>
      <c r="M39" s="423"/>
      <c r="N39" s="423"/>
      <c r="O39" s="423"/>
      <c r="P39" s="423"/>
      <c r="S39" s="24"/>
    </row>
    <row r="40" spans="1:19" ht="16.5" thickBot="1">
      <c r="E40" s="373">
        <f>0.5+0.4*((B8)^0.666)</f>
        <v>1.1346670745529144</v>
      </c>
      <c r="F40" s="371" t="s">
        <v>60</v>
      </c>
      <c r="P40" s="375"/>
      <c r="S40" s="24"/>
    </row>
    <row r="41" spans="1:19" ht="21" thickBot="1">
      <c r="E41" s="372">
        <f>2.8*((E11)^0.333)-1.3*((E11)^0.5)</f>
        <v>1.2125386948667469</v>
      </c>
      <c r="F41" s="497" t="s">
        <v>61</v>
      </c>
      <c r="G41" s="498"/>
      <c r="H41" s="514" t="s">
        <v>18</v>
      </c>
      <c r="I41" s="515"/>
      <c r="J41" s="512" t="s">
        <v>77</v>
      </c>
      <c r="K41" s="512"/>
      <c r="L41" s="513"/>
      <c r="M41" s="13"/>
      <c r="N41" s="23">
        <f>E49*E10*(D44)^0.3333</f>
        <v>0.99273245202285865</v>
      </c>
      <c r="O41" t="s">
        <v>42</v>
      </c>
      <c r="S41" s="24"/>
    </row>
    <row r="42" spans="1:19" ht="16.5" thickBot="1">
      <c r="E42" s="57">
        <f>(3.5-(B8))</f>
        <v>1.5</v>
      </c>
      <c r="F42" s="30" t="s">
        <v>609</v>
      </c>
      <c r="S42" s="24"/>
    </row>
    <row r="43" spans="1:19" ht="21" thickBot="1">
      <c r="C43" s="516" t="s">
        <v>20</v>
      </c>
      <c r="D43" s="516"/>
      <c r="E43" s="516"/>
      <c r="F43" s="516"/>
      <c r="G43" s="516"/>
      <c r="H43" s="514" t="s">
        <v>19</v>
      </c>
      <c r="I43" s="515"/>
      <c r="J43" s="512" t="s">
        <v>256</v>
      </c>
      <c r="K43" s="512"/>
      <c r="L43" s="513"/>
      <c r="N43" s="23">
        <f>0.4*E49*E10*(G44)^0.5</f>
        <v>0.77734811603363951</v>
      </c>
      <c r="O43" t="s">
        <v>42</v>
      </c>
      <c r="S43" s="24"/>
    </row>
    <row r="44" spans="1:19" ht="16.5" thickBot="1">
      <c r="B44" s="510" t="s">
        <v>39</v>
      </c>
      <c r="C44" s="510"/>
      <c r="D44" s="20">
        <f>0.95*E12*E5</f>
        <v>334.76575000000003</v>
      </c>
      <c r="F44" s="15" t="s">
        <v>21</v>
      </c>
      <c r="G44">
        <f>D44/G46</f>
        <v>184.68815513626839</v>
      </c>
      <c r="S44" s="24"/>
    </row>
    <row r="45" spans="1:19" ht="21" thickBot="1">
      <c r="A45" s="18" t="s">
        <v>41</v>
      </c>
      <c r="B45" s="17"/>
      <c r="C45" s="17"/>
      <c r="D45" s="16"/>
      <c r="E45" s="16"/>
      <c r="F45" s="19"/>
      <c r="L45" s="511" t="s">
        <v>610</v>
      </c>
      <c r="M45" s="504"/>
      <c r="N45" s="22">
        <f>0.5*B5*COS((0.5*E8+0.5*E8*E42)*3.14/180)</f>
        <v>0.87014519886731512</v>
      </c>
      <c r="O45" t="s">
        <v>42</v>
      </c>
      <c r="S45" s="24"/>
    </row>
    <row r="46" spans="1:19">
      <c r="F46" t="s">
        <v>22</v>
      </c>
      <c r="G46" s="8">
        <f>0.95*E11*B6</f>
        <v>1.8125999999999998</v>
      </c>
      <c r="H46" t="s">
        <v>42</v>
      </c>
      <c r="S46" s="24"/>
    </row>
    <row r="47" spans="1:19">
      <c r="S47" s="24"/>
    </row>
    <row r="48" spans="1:19" ht="21" thickBot="1">
      <c r="C48" s="511" t="s">
        <v>40</v>
      </c>
      <c r="D48" s="504"/>
      <c r="E48" s="504"/>
      <c r="F48" s="504"/>
      <c r="G48" s="504"/>
      <c r="H48" s="504"/>
      <c r="I48" s="504"/>
      <c r="J48" s="504"/>
      <c r="K48" s="504"/>
      <c r="L48" s="504"/>
      <c r="M48" s="504"/>
      <c r="N48" s="504"/>
      <c r="O48" s="504"/>
      <c r="S48" s="24"/>
    </row>
    <row r="49" spans="2:19" ht="16.5" thickBot="1">
      <c r="E49" s="21">
        <f>IF(E6&lt;0.5,1,1.1)</f>
        <v>1.1000000000000001</v>
      </c>
      <c r="S49" s="24"/>
    </row>
    <row r="50" spans="2:19">
      <c r="S50" s="24"/>
    </row>
    <row r="51" spans="2:19">
      <c r="B51" s="24"/>
      <c r="C51" s="24"/>
      <c r="D51" s="24"/>
      <c r="E51" s="24"/>
      <c r="F51" s="24"/>
      <c r="G51" s="24"/>
      <c r="H51" s="24"/>
      <c r="I51" s="24"/>
      <c r="J51" s="24"/>
      <c r="K51" s="24"/>
      <c r="L51" s="24"/>
      <c r="M51" s="24"/>
      <c r="N51" s="24"/>
      <c r="O51" s="24"/>
      <c r="P51" s="24"/>
      <c r="Q51" s="24"/>
      <c r="S51" s="24"/>
    </row>
    <row r="52" spans="2:19" ht="16.5" thickBot="1">
      <c r="F52" s="14"/>
      <c r="S52" s="24"/>
    </row>
    <row r="53" spans="2:19" ht="16.5" thickBot="1">
      <c r="N53" s="26"/>
      <c r="O53" s="27"/>
      <c r="P53" s="26" t="s">
        <v>43</v>
      </c>
      <c r="Q53" s="25">
        <v>3</v>
      </c>
      <c r="S53" s="24"/>
    </row>
    <row r="54" spans="2:19" ht="16.5" thickBot="1">
      <c r="S54" s="24"/>
    </row>
    <row r="55" spans="2:19" ht="19.5" thickBot="1">
      <c r="K55" s="504" t="s">
        <v>45</v>
      </c>
      <c r="L55" s="504"/>
      <c r="M55" s="504"/>
      <c r="N55" s="503" t="s">
        <v>44</v>
      </c>
      <c r="O55" s="503"/>
      <c r="P55" s="503"/>
      <c r="Q55" s="44">
        <f>F57+F62</f>
        <v>8.0520158397588091</v>
      </c>
      <c r="R55" t="s">
        <v>42</v>
      </c>
      <c r="S55" s="24"/>
    </row>
    <row r="56" spans="2:19">
      <c r="D56" s="507" t="s">
        <v>46</v>
      </c>
      <c r="E56" s="507"/>
      <c r="F56" s="28" t="s">
        <v>47</v>
      </c>
      <c r="G56" s="505" t="s">
        <v>75</v>
      </c>
      <c r="H56" s="505"/>
      <c r="I56" s="505"/>
      <c r="J56" s="505"/>
      <c r="K56" s="505"/>
      <c r="L56" s="505"/>
      <c r="M56" s="505"/>
      <c r="N56" s="505"/>
      <c r="O56" s="505"/>
      <c r="P56" s="505"/>
      <c r="S56" s="24"/>
    </row>
    <row r="57" spans="2:19">
      <c r="F57" s="41">
        <f>E15*F59</f>
        <v>7.0437416025450386</v>
      </c>
      <c r="S57" s="24"/>
    </row>
    <row r="58" spans="2:19">
      <c r="D58" s="508" t="s">
        <v>48</v>
      </c>
      <c r="E58" s="508"/>
      <c r="F58" s="506" t="s">
        <v>49</v>
      </c>
      <c r="G58" s="506"/>
      <c r="H58" s="30"/>
      <c r="I58" s="509" t="s">
        <v>55</v>
      </c>
      <c r="J58" s="509"/>
      <c r="K58" s="509"/>
      <c r="L58" s="509"/>
      <c r="M58" s="509"/>
      <c r="N58" s="509"/>
      <c r="O58" s="509"/>
      <c r="P58" s="509"/>
      <c r="Q58" s="509"/>
      <c r="S58" s="24"/>
    </row>
    <row r="59" spans="2:19">
      <c r="F59" s="41">
        <f>E16*E1*(D44)^0.333</f>
        <v>6.4034014568591253</v>
      </c>
      <c r="J59" s="532" t="s">
        <v>54</v>
      </c>
      <c r="K59" s="532"/>
      <c r="L59" s="532"/>
      <c r="M59" s="532"/>
      <c r="N59" s="532"/>
      <c r="O59" s="532"/>
      <c r="P59" s="532"/>
      <c r="S59" s="24"/>
    </row>
    <row r="60" spans="2:19">
      <c r="S60" s="24"/>
    </row>
    <row r="61" spans="2:19" ht="18.75">
      <c r="D61" s="500" t="s">
        <v>57</v>
      </c>
      <c r="E61" s="501"/>
      <c r="F61" s="33" t="s">
        <v>56</v>
      </c>
      <c r="S61" s="24"/>
    </row>
    <row r="62" spans="2:19">
      <c r="D62" s="29"/>
      <c r="E62" s="29"/>
      <c r="F62" s="43">
        <f>F64*TAN(E8*3.14/180)</f>
        <v>1.0082742372137712</v>
      </c>
      <c r="G62" s="29"/>
      <c r="H62" s="29"/>
      <c r="I62" s="29"/>
      <c r="J62" s="29"/>
      <c r="K62" s="29"/>
      <c r="L62" s="29"/>
      <c r="M62" s="29"/>
      <c r="N62" s="29"/>
      <c r="O62" s="29"/>
      <c r="P62" s="29"/>
      <c r="S62" s="24"/>
    </row>
    <row r="63" spans="2:19" ht="18.75">
      <c r="D63" s="502" t="s">
        <v>58</v>
      </c>
      <c r="E63" s="502"/>
      <c r="F63" s="31" t="s">
        <v>62</v>
      </c>
      <c r="G63" s="32"/>
      <c r="H63" s="35"/>
      <c r="I63" s="29"/>
      <c r="J63" s="501" t="s">
        <v>59</v>
      </c>
      <c r="K63" s="501"/>
      <c r="L63" s="501"/>
      <c r="M63" s="501"/>
      <c r="N63" s="501"/>
      <c r="O63" s="501"/>
      <c r="P63" s="501"/>
      <c r="S63" s="24"/>
    </row>
    <row r="64" spans="2:19">
      <c r="F64" s="41">
        <f>F67*F69*B13*(B4/(E11)^2)*E7*COS(E8*3.14/180)</f>
        <v>2.7717367372830366</v>
      </c>
      <c r="H64" s="418" t="s">
        <v>179</v>
      </c>
      <c r="I64" s="418"/>
      <c r="J64" s="418"/>
      <c r="K64" s="418"/>
      <c r="L64" s="418"/>
      <c r="M64" s="418"/>
      <c r="N64" s="418"/>
      <c r="O64" s="418"/>
      <c r="P64" s="418"/>
      <c r="S64" s="24"/>
    </row>
    <row r="65" spans="4:19">
      <c r="H65" s="531" t="s">
        <v>63</v>
      </c>
      <c r="I65" s="531"/>
      <c r="J65" s="531"/>
      <c r="K65" s="531"/>
      <c r="L65" s="531"/>
      <c r="M65" s="531"/>
      <c r="N65" s="531"/>
      <c r="O65" s="531"/>
      <c r="P65" s="531"/>
      <c r="S65" s="24"/>
    </row>
    <row r="66" spans="4:19">
      <c r="F66" s="34" t="s">
        <v>60</v>
      </c>
      <c r="H66" s="36"/>
      <c r="I66" s="36"/>
      <c r="J66" s="531" t="s">
        <v>64</v>
      </c>
      <c r="K66" s="531"/>
      <c r="L66" s="531"/>
      <c r="M66" s="531"/>
      <c r="N66" s="531"/>
      <c r="O66" s="36"/>
      <c r="P66" s="36"/>
      <c r="S66" s="24"/>
    </row>
    <row r="67" spans="4:19">
      <c r="F67" s="42">
        <f>0.5+0.4*((B8)^0.666)</f>
        <v>1.1346670745529144</v>
      </c>
      <c r="H67" s="36"/>
      <c r="I67" s="36"/>
      <c r="J67" s="37" t="s">
        <v>74</v>
      </c>
      <c r="K67" s="36" t="s">
        <v>66</v>
      </c>
      <c r="L67" s="36" t="s">
        <v>67</v>
      </c>
      <c r="M67" s="39" t="s">
        <v>68</v>
      </c>
      <c r="N67" s="36"/>
      <c r="O67" s="36"/>
      <c r="P67" s="36"/>
      <c r="S67" s="24"/>
    </row>
    <row r="68" spans="4:19">
      <c r="F68" s="497" t="s">
        <v>61</v>
      </c>
      <c r="G68" s="498"/>
      <c r="H68" s="36"/>
      <c r="I68" s="36"/>
      <c r="J68" s="38" t="s">
        <v>73</v>
      </c>
      <c r="K68" s="36" t="s">
        <v>69</v>
      </c>
      <c r="L68" s="36" t="s">
        <v>70</v>
      </c>
      <c r="M68" s="39" t="s">
        <v>71</v>
      </c>
      <c r="N68" s="36"/>
      <c r="O68" s="36"/>
      <c r="P68" s="36"/>
      <c r="S68" s="24"/>
    </row>
    <row r="69" spans="4:19">
      <c r="F69" s="41">
        <f>2.8*((E11)^0.333)-1.3*((E11)^0.5)</f>
        <v>1.2125386948667469</v>
      </c>
      <c r="H69" s="36"/>
      <c r="I69" s="36"/>
      <c r="J69" s="36"/>
      <c r="K69" s="36"/>
      <c r="L69" s="36"/>
      <c r="M69" s="40" t="s">
        <v>72</v>
      </c>
      <c r="N69" s="36"/>
      <c r="O69" s="36"/>
      <c r="P69" s="36"/>
      <c r="S69" s="24"/>
    </row>
    <row r="70" spans="4:19">
      <c r="S70" s="24"/>
    </row>
    <row r="71" spans="4:19" ht="16.5" thickBot="1">
      <c r="D71" s="45"/>
      <c r="E71" s="45"/>
      <c r="F71" s="45"/>
      <c r="G71" s="45"/>
      <c r="H71" s="45"/>
      <c r="I71" s="45"/>
      <c r="J71" s="45"/>
      <c r="K71" s="45"/>
      <c r="L71" s="45"/>
      <c r="M71" s="45"/>
      <c r="N71" s="45"/>
      <c r="O71" s="45"/>
      <c r="P71" s="45"/>
      <c r="Q71" s="45"/>
      <c r="R71" s="45"/>
      <c r="S71" s="24"/>
    </row>
    <row r="72" spans="4:19" ht="19.5" thickBot="1">
      <c r="M72" s="419" t="s">
        <v>76</v>
      </c>
      <c r="N72" s="420"/>
      <c r="O72" s="420"/>
      <c r="P72" s="421"/>
      <c r="Q72" s="25">
        <v>4</v>
      </c>
      <c r="S72" s="24"/>
    </row>
    <row r="73" spans="4:19" ht="16.5" thickBot="1">
      <c r="S73" s="24"/>
    </row>
    <row r="74" spans="4:19" ht="16.5" thickBot="1">
      <c r="D74" s="51" t="s">
        <v>78</v>
      </c>
      <c r="L74" s="51" t="s">
        <v>117</v>
      </c>
      <c r="M74" s="419" t="s">
        <v>611</v>
      </c>
      <c r="N74" s="420"/>
      <c r="O74" s="420"/>
      <c r="P74" s="420"/>
      <c r="Q74" s="421"/>
      <c r="S74" s="24"/>
    </row>
    <row r="75" spans="4:19" ht="16.5" thickBot="1">
      <c r="Q75" s="23">
        <f>O77-(Q38-E39)*(H1/E2)-N45</f>
        <v>3.8320486334489545</v>
      </c>
      <c r="R75" t="s">
        <v>42</v>
      </c>
      <c r="S75" s="24"/>
    </row>
    <row r="76" spans="4:19">
      <c r="M76" s="530" t="s">
        <v>79</v>
      </c>
      <c r="N76" s="530"/>
      <c r="O76" s="530"/>
      <c r="S76" s="24"/>
    </row>
    <row r="77" spans="4:19">
      <c r="O77" s="53">
        <f>IF(B6&gt;3,1.25*Q79,1.25*Q78)</f>
        <v>4.4847006694248428</v>
      </c>
      <c r="P77" t="s">
        <v>42</v>
      </c>
      <c r="S77" s="24"/>
    </row>
    <row r="78" spans="4:19">
      <c r="K78" s="423" t="s">
        <v>18</v>
      </c>
      <c r="L78" s="468"/>
      <c r="M78" s="530" t="s">
        <v>80</v>
      </c>
      <c r="N78" s="530"/>
      <c r="O78" s="530"/>
      <c r="P78" s="530"/>
      <c r="Q78" s="2">
        <f>E49*H1*(D44)^0.333</f>
        <v>4.5738581834708034</v>
      </c>
      <c r="S78" s="24"/>
    </row>
    <row r="79" spans="4:19">
      <c r="K79" s="423" t="s">
        <v>19</v>
      </c>
      <c r="L79" s="468"/>
      <c r="M79" s="530" t="s">
        <v>257</v>
      </c>
      <c r="N79" s="530"/>
      <c r="O79" s="530"/>
      <c r="P79" s="530"/>
      <c r="Q79" s="2">
        <f>0.4*E49*H1*(G44)^0.5</f>
        <v>3.5877605355398741</v>
      </c>
      <c r="S79" s="24"/>
    </row>
    <row r="80" spans="4:19">
      <c r="S80" s="24"/>
    </row>
    <row r="81" spans="4:20">
      <c r="S81" s="24"/>
    </row>
    <row r="82" spans="4:20" ht="16.5" thickBot="1">
      <c r="D82" s="45"/>
      <c r="E82" s="45"/>
      <c r="F82" s="45"/>
      <c r="G82" s="45"/>
      <c r="H82" s="45"/>
      <c r="I82" s="45"/>
      <c r="J82" s="45"/>
      <c r="K82" s="45"/>
      <c r="L82" s="45"/>
      <c r="M82" s="45"/>
      <c r="N82" s="45"/>
      <c r="O82" s="45"/>
      <c r="P82" s="45"/>
      <c r="Q82" s="45"/>
      <c r="R82" s="45"/>
      <c r="S82" s="24"/>
    </row>
    <row r="83" spans="4:20" ht="19.5" thickBot="1">
      <c r="M83" s="486" t="s">
        <v>81</v>
      </c>
      <c r="N83" s="487"/>
      <c r="O83" s="487"/>
      <c r="P83" s="488"/>
      <c r="Q83" s="25">
        <v>5</v>
      </c>
      <c r="S83" s="24"/>
    </row>
    <row r="84" spans="4:20">
      <c r="J84" s="494" t="s">
        <v>91</v>
      </c>
      <c r="K84" s="495"/>
      <c r="L84" s="496"/>
      <c r="M84" s="453" t="s">
        <v>82</v>
      </c>
      <c r="N84" s="454"/>
      <c r="O84" s="454"/>
      <c r="P84" s="455"/>
      <c r="Q84" s="61">
        <v>5.0999999999999996</v>
      </c>
      <c r="S84" s="24"/>
    </row>
    <row r="85" spans="4:20">
      <c r="H85" s="423" t="s">
        <v>85</v>
      </c>
      <c r="I85" s="423"/>
      <c r="J85" s="468"/>
      <c r="K85" s="418" t="s">
        <v>83</v>
      </c>
      <c r="L85" s="418"/>
      <c r="M85" s="418"/>
      <c r="N85" s="418"/>
      <c r="O85" s="418"/>
      <c r="Q85" s="57">
        <f>H2*Q89^(-H3)</f>
        <v>4.3640288736458022</v>
      </c>
      <c r="S85" s="24"/>
    </row>
    <row r="86" spans="4:20">
      <c r="H86" s="423" t="s">
        <v>86</v>
      </c>
      <c r="I86" s="423"/>
      <c r="J86" s="468"/>
      <c r="K86" s="54" t="s">
        <v>84</v>
      </c>
      <c r="L86" s="55"/>
      <c r="M86" s="55"/>
      <c r="N86" s="55"/>
      <c r="O86" s="56"/>
      <c r="P86" s="60"/>
      <c r="Q86" s="57">
        <f>Q85*0.6*E49</f>
        <v>2.8802590566062296</v>
      </c>
      <c r="S86" s="24"/>
    </row>
    <row r="87" spans="4:20">
      <c r="L87" s="57"/>
      <c r="M87" s="418" t="s">
        <v>87</v>
      </c>
      <c r="N87" s="418"/>
      <c r="O87" s="418"/>
      <c r="P87" s="60"/>
      <c r="Q87" s="73">
        <f>Q88/(D44^0.333)</f>
        <v>0.11803864439673714</v>
      </c>
      <c r="S87" s="24"/>
    </row>
    <row r="88" spans="4:20">
      <c r="F88" s="80" t="s">
        <v>106</v>
      </c>
      <c r="L88" s="418" t="s">
        <v>612</v>
      </c>
      <c r="M88" s="418"/>
      <c r="N88" s="418"/>
      <c r="O88" s="418"/>
      <c r="P88" s="60"/>
      <c r="Q88" s="57">
        <f>E6-N45+E39</f>
        <v>0.81801821157547916</v>
      </c>
      <c r="S88" s="24"/>
    </row>
    <row r="89" spans="4:20">
      <c r="F89" s="79" t="s">
        <v>105</v>
      </c>
      <c r="K89" s="58"/>
      <c r="L89" s="59"/>
      <c r="M89" s="418" t="s">
        <v>88</v>
      </c>
      <c r="N89" s="418"/>
      <c r="O89" s="418"/>
      <c r="P89" s="440"/>
      <c r="Q89" s="57">
        <f>Q90/D44^0.333</f>
        <v>0.88256062245364686</v>
      </c>
      <c r="S89" s="24"/>
    </row>
    <row r="90" spans="4:20">
      <c r="L90" s="57"/>
      <c r="M90" s="418" t="s">
        <v>613</v>
      </c>
      <c r="N90" s="418"/>
      <c r="O90" s="418"/>
      <c r="P90" s="440"/>
      <c r="Q90" s="57">
        <f>N45+(Q38+N45-E39)*(H1/E2)+Q75</f>
        <v>6.1162229173010587</v>
      </c>
      <c r="S90" s="24"/>
      <c r="T90" t="s">
        <v>89</v>
      </c>
    </row>
    <row r="91" spans="4:20" ht="16.5" thickBot="1">
      <c r="L91" s="57"/>
      <c r="M91" s="440" t="s">
        <v>94</v>
      </c>
      <c r="N91" s="441"/>
      <c r="O91" s="441"/>
      <c r="P91" s="489"/>
      <c r="Q91" s="74">
        <f>H16*D44^0.333</f>
        <v>2.4255308548708805</v>
      </c>
      <c r="S91" s="24"/>
    </row>
    <row r="92" spans="4:20" ht="16.5" thickBot="1">
      <c r="P92" s="75" t="s">
        <v>102</v>
      </c>
      <c r="Q92" s="76">
        <f>IF(Q87&lt;0.7,Q86,Q85)</f>
        <v>2.8802590566062296</v>
      </c>
      <c r="R92" s="77" t="s">
        <v>101</v>
      </c>
      <c r="S92" s="24"/>
    </row>
    <row r="93" spans="4:20">
      <c r="F93" s="490" t="s">
        <v>90</v>
      </c>
      <c r="G93" s="490"/>
      <c r="H93" s="490"/>
      <c r="I93" s="490"/>
      <c r="J93" s="490"/>
      <c r="K93" s="490"/>
      <c r="L93" s="490"/>
      <c r="M93" s="490"/>
      <c r="N93" s="490"/>
      <c r="O93" s="490"/>
      <c r="P93" s="490"/>
      <c r="Q93" s="490"/>
      <c r="R93" s="490"/>
      <c r="S93" s="24"/>
    </row>
    <row r="94" spans="4:20">
      <c r="F94" s="491" t="s">
        <v>104</v>
      </c>
      <c r="G94" s="492"/>
      <c r="H94" s="492"/>
      <c r="I94" s="492"/>
      <c r="J94" s="492"/>
      <c r="K94" s="492"/>
      <c r="L94" s="492"/>
      <c r="M94" s="492"/>
      <c r="N94" s="492"/>
      <c r="O94" s="492"/>
      <c r="P94" s="492"/>
      <c r="Q94" s="492"/>
      <c r="R94" s="493"/>
      <c r="S94" s="24"/>
    </row>
    <row r="95" spans="4:20" ht="16.5" thickBot="1">
      <c r="E95" s="87"/>
      <c r="F95" s="87"/>
      <c r="G95" s="87"/>
      <c r="H95" s="87"/>
      <c r="I95" s="87"/>
      <c r="J95" s="87"/>
      <c r="K95" s="87"/>
      <c r="L95" s="87"/>
      <c r="M95" s="87"/>
      <c r="N95" s="87"/>
      <c r="O95" s="87"/>
      <c r="P95" s="87"/>
      <c r="Q95" s="87"/>
      <c r="R95" s="87"/>
      <c r="S95" s="24"/>
    </row>
    <row r="96" spans="4:20" ht="16.5" thickBot="1">
      <c r="O96" s="428" t="s">
        <v>103</v>
      </c>
      <c r="P96" s="429"/>
      <c r="Q96" s="78">
        <v>5.2</v>
      </c>
      <c r="S96" s="24"/>
    </row>
    <row r="97" spans="5:19">
      <c r="S97" s="24"/>
    </row>
    <row r="98" spans="5:19">
      <c r="Q98" s="478" t="str">
        <f>IF(Q90&gt;Q91,F89,F88)</f>
        <v>Rэkв  &gt; ٭R  , الشرط محقق</v>
      </c>
      <c r="R98" s="478"/>
      <c r="S98" s="24"/>
    </row>
    <row r="99" spans="5:19">
      <c r="S99" s="24"/>
    </row>
    <row r="100" spans="5:19">
      <c r="S100" s="24"/>
    </row>
    <row r="101" spans="5:19">
      <c r="S101" s="24"/>
    </row>
    <row r="102" spans="5:19">
      <c r="G102" s="46">
        <v>2</v>
      </c>
      <c r="M102" s="62">
        <v>1</v>
      </c>
      <c r="S102" s="24"/>
    </row>
    <row r="103" spans="5:19" ht="16.5" thickBot="1">
      <c r="E103" s="87"/>
      <c r="F103" s="87"/>
      <c r="G103" s="87"/>
      <c r="H103" s="87"/>
      <c r="I103" s="87"/>
      <c r="J103" s="87"/>
      <c r="K103" s="87"/>
      <c r="L103" s="87"/>
      <c r="M103" s="87"/>
      <c r="N103" s="87"/>
      <c r="O103" s="87"/>
      <c r="P103" s="87"/>
      <c r="Q103" s="87"/>
      <c r="R103" s="87"/>
      <c r="S103" s="24"/>
    </row>
    <row r="104" spans="5:19" ht="19.5" thickBot="1">
      <c r="N104" s="462" t="s">
        <v>108</v>
      </c>
      <c r="O104" s="463"/>
      <c r="P104" s="464"/>
      <c r="Q104" s="78">
        <v>5.3</v>
      </c>
      <c r="S104" s="24"/>
    </row>
    <row r="105" spans="5:19" ht="16.5" thickBot="1">
      <c r="S105" s="24"/>
    </row>
    <row r="106" spans="5:19" ht="21" thickBot="1">
      <c r="M106" s="83" t="s">
        <v>111</v>
      </c>
      <c r="N106" s="479" t="s">
        <v>109</v>
      </c>
      <c r="O106" s="480"/>
      <c r="P106" s="481"/>
      <c r="Q106" s="81">
        <f>H4*((D44)^0.333)+Q90*H5</f>
        <v>0.26499554767886446</v>
      </c>
      <c r="S106" s="24"/>
    </row>
    <row r="107" spans="5:19" ht="21" thickBot="1">
      <c r="M107" s="82" t="s">
        <v>110</v>
      </c>
      <c r="N107" s="479" t="s">
        <v>416</v>
      </c>
      <c r="O107" s="480"/>
      <c r="P107" s="548"/>
      <c r="Q107" s="81">
        <f>0.0035*H6*D44^0.333</f>
        <v>2.4255308548708807E-2</v>
      </c>
      <c r="S107" s="24"/>
    </row>
    <row r="108" spans="5:19" ht="19.5" thickBot="1">
      <c r="P108" s="84" t="s">
        <v>112</v>
      </c>
      <c r="Q108" s="159">
        <f>IF(Q89&gt;0.375,Q106,Q107)</f>
        <v>0.26499554767886446</v>
      </c>
      <c r="S108" s="24"/>
    </row>
    <row r="109" spans="5:19">
      <c r="S109" s="24"/>
    </row>
    <row r="110" spans="5:19" ht="16.5" thickBot="1">
      <c r="E110" s="87"/>
      <c r="F110" s="87"/>
      <c r="G110" s="87"/>
      <c r="H110" s="87"/>
      <c r="I110" s="87"/>
      <c r="J110" s="87"/>
      <c r="K110" s="87"/>
      <c r="L110" s="87"/>
      <c r="M110" s="87"/>
      <c r="N110" s="87"/>
      <c r="O110" s="87"/>
      <c r="P110" s="87"/>
      <c r="Q110" s="87"/>
      <c r="R110" s="87"/>
      <c r="S110" s="24"/>
    </row>
    <row r="111" spans="5:19" ht="19.5" thickBot="1">
      <c r="N111" s="462" t="s">
        <v>107</v>
      </c>
      <c r="O111" s="463"/>
      <c r="P111" s="464"/>
      <c r="Q111" s="78">
        <v>5.4</v>
      </c>
      <c r="S111" s="24"/>
    </row>
    <row r="112" spans="5:19">
      <c r="S112" s="45"/>
    </row>
    <row r="113" spans="8:19">
      <c r="H113" t="s">
        <v>114</v>
      </c>
      <c r="I113">
        <v>0</v>
      </c>
      <c r="J113">
        <v>5</v>
      </c>
      <c r="K113">
        <v>10</v>
      </c>
      <c r="L113">
        <v>15</v>
      </c>
      <c r="M113">
        <v>20</v>
      </c>
      <c r="N113">
        <v>25</v>
      </c>
      <c r="S113" s="45"/>
    </row>
    <row r="114" spans="8:19">
      <c r="H114" t="s">
        <v>113</v>
      </c>
      <c r="I114">
        <v>1</v>
      </c>
      <c r="J114">
        <v>0.83</v>
      </c>
      <c r="K114">
        <v>0.69499999999999995</v>
      </c>
      <c r="L114">
        <v>0.59499999999999997</v>
      </c>
      <c r="M114">
        <v>0.53800000000000003</v>
      </c>
      <c r="N114">
        <v>0.52</v>
      </c>
      <c r="S114" s="45"/>
    </row>
    <row r="115" spans="8:19" ht="16.5" thickBot="1">
      <c r="S115" s="45"/>
    </row>
    <row r="116" spans="8:19" ht="16.5" thickBot="1">
      <c r="L116" s="465" t="s">
        <v>115</v>
      </c>
      <c r="M116" s="466"/>
      <c r="N116" s="466"/>
      <c r="O116" s="466"/>
      <c r="P116" s="466"/>
      <c r="Q116" s="467"/>
      <c r="R116" s="160">
        <f>Q108*(0.0008*((Q92)^2)-0.0384*Q92+1.0013)</f>
        <v>0.23778971777086105</v>
      </c>
      <c r="S116" s="45"/>
    </row>
    <row r="117" spans="8:19">
      <c r="S117" s="45"/>
    </row>
    <row r="118" spans="8:19">
      <c r="S118" s="45"/>
    </row>
    <row r="119" spans="8:19">
      <c r="S119" s="45"/>
    </row>
    <row r="120" spans="8:19">
      <c r="S120" s="45"/>
    </row>
    <row r="121" spans="8:19">
      <c r="S121" s="45"/>
    </row>
    <row r="122" spans="8:19">
      <c r="S122" s="45"/>
    </row>
    <row r="123" spans="8:19">
      <c r="S123" s="45"/>
    </row>
    <row r="124" spans="8:19">
      <c r="S124" s="45"/>
    </row>
    <row r="125" spans="8:19">
      <c r="S125" s="45"/>
    </row>
    <row r="126" spans="8:19">
      <c r="S126" s="45"/>
    </row>
    <row r="127" spans="8:19">
      <c r="S127" s="45"/>
    </row>
    <row r="128" spans="8:19">
      <c r="S128" s="45"/>
    </row>
    <row r="129" spans="5:19">
      <c r="S129" s="45"/>
    </row>
    <row r="130" spans="5:19">
      <c r="S130" s="45"/>
    </row>
    <row r="131" spans="5:19">
      <c r="S131" s="45"/>
    </row>
    <row r="132" spans="5:19">
      <c r="S132" s="45"/>
    </row>
    <row r="133" spans="5:19">
      <c r="S133" s="45"/>
    </row>
    <row r="134" spans="5:19">
      <c r="S134" s="45"/>
    </row>
    <row r="135" spans="5:19">
      <c r="S135" s="45"/>
    </row>
    <row r="136" spans="5:19" ht="16.5" thickBot="1">
      <c r="E136" s="87"/>
      <c r="F136" s="87"/>
      <c r="G136" s="87"/>
      <c r="H136" s="87"/>
      <c r="I136" s="87"/>
      <c r="J136" s="87"/>
      <c r="K136" s="87"/>
      <c r="L136" s="87"/>
      <c r="M136" s="87"/>
      <c r="N136" s="87"/>
      <c r="O136" s="87"/>
      <c r="P136" s="87"/>
      <c r="Q136" s="87"/>
      <c r="R136" s="87"/>
      <c r="S136" s="45"/>
    </row>
    <row r="137" spans="5:19" ht="21" thickBot="1">
      <c r="L137" s="450" t="s">
        <v>118</v>
      </c>
      <c r="M137" s="459"/>
      <c r="N137" s="459"/>
      <c r="O137" s="459"/>
      <c r="P137" s="460"/>
      <c r="Q137" s="88">
        <v>5.5</v>
      </c>
      <c r="S137" s="45"/>
    </row>
    <row r="138" spans="5:19">
      <c r="S138" s="45"/>
    </row>
    <row r="139" spans="5:19" ht="20.25">
      <c r="L139" s="528" t="s">
        <v>119</v>
      </c>
      <c r="M139" s="423"/>
      <c r="N139" s="423"/>
      <c r="O139" s="423"/>
      <c r="P139" s="423"/>
      <c r="Q139" s="259">
        <f>((O143-O144)/(O143*O144))*(Q90-Q91)</f>
        <v>3.6467651189518946E-2</v>
      </c>
      <c r="R139" t="s">
        <v>127</v>
      </c>
      <c r="S139" s="45"/>
    </row>
    <row r="140" spans="5:19" ht="16.5" thickBot="1">
      <c r="S140" s="45"/>
    </row>
    <row r="141" spans="5:19" ht="16.5" thickBot="1">
      <c r="J141" s="443" t="s">
        <v>121</v>
      </c>
      <c r="K141" s="444"/>
      <c r="L141" s="443" t="s">
        <v>120</v>
      </c>
      <c r="M141" s="444"/>
      <c r="N141" s="475"/>
      <c r="O141" s="89">
        <f>Q38+Q75+E6</f>
        <v>5.4042156903496545</v>
      </c>
      <c r="P141" t="s">
        <v>42</v>
      </c>
      <c r="S141" s="45"/>
    </row>
    <row r="142" spans="5:19">
      <c r="S142" s="45"/>
    </row>
    <row r="143" spans="5:19">
      <c r="M143" s="423" t="s">
        <v>122</v>
      </c>
      <c r="N143" s="423"/>
      <c r="O143">
        <f>(H7+H9)/2</f>
        <v>152.5</v>
      </c>
      <c r="P143" t="s">
        <v>125</v>
      </c>
      <c r="S143" s="45"/>
    </row>
    <row r="144" spans="5:19">
      <c r="M144" s="423" t="s">
        <v>123</v>
      </c>
      <c r="N144" s="423"/>
      <c r="O144">
        <f>(H10+J8)/2</f>
        <v>60.833333333333329</v>
      </c>
      <c r="P144" t="s">
        <v>125</v>
      </c>
      <c r="S144" s="45"/>
    </row>
    <row r="145" spans="1:19">
      <c r="S145" s="45"/>
    </row>
    <row r="146" spans="1:19">
      <c r="I146" s="423" t="s">
        <v>124</v>
      </c>
      <c r="J146" s="423"/>
      <c r="K146" s="423"/>
      <c r="L146" s="423"/>
      <c r="M146" s="423"/>
      <c r="N146" s="423"/>
      <c r="O146" s="423"/>
      <c r="P146" s="423"/>
      <c r="Q146" s="423"/>
      <c r="S146" s="45"/>
    </row>
    <row r="147" spans="1:19">
      <c r="S147" s="45"/>
    </row>
    <row r="148" spans="1:19">
      <c r="J148" s="423"/>
      <c r="K148" s="423"/>
      <c r="M148" s="423"/>
      <c r="N148" s="423"/>
      <c r="O148" s="20"/>
      <c r="S148" s="45"/>
    </row>
    <row r="149" spans="1:19">
      <c r="S149" s="45"/>
    </row>
    <row r="150" spans="1:19">
      <c r="A150" s="87"/>
      <c r="B150" s="87"/>
      <c r="C150" s="87"/>
      <c r="D150" s="87"/>
      <c r="E150" s="87"/>
      <c r="F150" s="87"/>
      <c r="G150" s="87"/>
      <c r="H150" s="87"/>
      <c r="I150" s="87"/>
      <c r="J150" s="87"/>
      <c r="K150" s="87"/>
      <c r="L150" s="87"/>
      <c r="M150" s="87"/>
      <c r="N150" s="87"/>
      <c r="O150" s="87"/>
      <c r="P150" s="87"/>
      <c r="Q150" s="87"/>
      <c r="R150" s="87"/>
      <c r="S150" s="45"/>
    </row>
    <row r="151" spans="1:19" ht="16.5" thickBot="1">
      <c r="H151" s="86"/>
      <c r="S151" s="45"/>
    </row>
    <row r="152" spans="1:19" ht="21" thickBot="1">
      <c r="L152" s="450" t="s">
        <v>128</v>
      </c>
      <c r="M152" s="459"/>
      <c r="N152" s="459"/>
      <c r="O152" s="459"/>
      <c r="P152" s="460"/>
      <c r="Q152" s="88">
        <v>5.6</v>
      </c>
      <c r="S152" s="45"/>
    </row>
    <row r="153" spans="1:19">
      <c r="S153" s="45"/>
    </row>
    <row r="154" spans="1:19">
      <c r="J154" s="57"/>
      <c r="K154" s="57"/>
      <c r="L154" s="57"/>
      <c r="M154" s="57"/>
      <c r="N154" s="57"/>
      <c r="O154" s="57"/>
      <c r="P154" s="57"/>
      <c r="Q154" s="57"/>
      <c r="R154" s="57"/>
      <c r="S154" s="45"/>
    </row>
    <row r="155" spans="1:19">
      <c r="J155" s="57"/>
      <c r="K155" s="57"/>
      <c r="L155" s="461" t="s">
        <v>138</v>
      </c>
      <c r="M155" s="422"/>
      <c r="N155" s="422"/>
      <c r="O155" s="422"/>
      <c r="P155" s="422"/>
      <c r="Q155" s="158">
        <f>(1/((B3)^2))*Q156*Q171*((Q161/Q165)^0.5)</f>
        <v>561.66736704874131</v>
      </c>
      <c r="R155" s="57" t="s">
        <v>574</v>
      </c>
      <c r="S155" s="45"/>
    </row>
    <row r="156" spans="1:19">
      <c r="J156" s="57"/>
      <c r="K156" s="57"/>
      <c r="L156" s="57"/>
      <c r="M156" s="57"/>
      <c r="N156" s="57"/>
      <c r="O156" s="57"/>
      <c r="P156" s="91" t="s">
        <v>143</v>
      </c>
      <c r="Q156" s="57">
        <f>IF(H13=1,Q158,Q157)</f>
        <v>46.811095810882541</v>
      </c>
      <c r="R156" s="57"/>
      <c r="S156" s="45"/>
    </row>
    <row r="157" spans="1:19">
      <c r="J157" s="57"/>
      <c r="K157" s="57" t="s">
        <v>130</v>
      </c>
      <c r="L157" s="418" t="s">
        <v>129</v>
      </c>
      <c r="M157" s="418"/>
      <c r="N157" s="418"/>
      <c r="O157" s="418"/>
      <c r="P157" s="418"/>
      <c r="Q157" s="57">
        <f>9.87*(1+(Q160)^2)</f>
        <v>25.291874999999997</v>
      </c>
      <c r="R157" s="57"/>
      <c r="S157" s="45"/>
    </row>
    <row r="158" spans="1:19">
      <c r="J158" s="57"/>
      <c r="K158" s="57" t="s">
        <v>131</v>
      </c>
      <c r="L158" s="418" t="s">
        <v>132</v>
      </c>
      <c r="M158" s="418"/>
      <c r="N158" s="418"/>
      <c r="O158" s="418"/>
      <c r="P158" s="418"/>
      <c r="Q158" s="57">
        <f>22.37*(1+0.6*((Q160)^2)+((Q160)^4))^0.5</f>
        <v>46.811095810882541</v>
      </c>
      <c r="R158" s="57"/>
      <c r="S158" s="45"/>
    </row>
    <row r="159" spans="1:19">
      <c r="J159" s="57"/>
      <c r="K159" s="57"/>
      <c r="L159" s="57"/>
      <c r="M159" s="57"/>
      <c r="N159" s="440" t="s">
        <v>142</v>
      </c>
      <c r="O159" s="441"/>
      <c r="P159" s="442"/>
      <c r="Q159" s="57"/>
      <c r="R159" s="57"/>
      <c r="S159" s="45"/>
    </row>
    <row r="160" spans="1:19">
      <c r="J160" s="57" t="s">
        <v>134</v>
      </c>
      <c r="K160" s="418"/>
      <c r="L160" s="418"/>
      <c r="M160" s="436" t="s">
        <v>133</v>
      </c>
      <c r="N160" s="437"/>
      <c r="O160" s="437"/>
      <c r="P160" s="438"/>
      <c r="Q160" s="57">
        <f>B2/B3</f>
        <v>1.25</v>
      </c>
      <c r="R160" s="57"/>
      <c r="S160" s="45"/>
    </row>
    <row r="161" spans="4:19">
      <c r="J161" s="57"/>
      <c r="K161" s="57"/>
      <c r="L161" s="470" t="s">
        <v>572</v>
      </c>
      <c r="M161" s="470"/>
      <c r="N161" s="470"/>
      <c r="O161" s="470"/>
      <c r="P161" s="470"/>
      <c r="Q161" s="57">
        <f>0.85*Q162*H11*(Q163-Q167)*(Q163-0.5*Q167)*10000</f>
        <v>52878598.10230986</v>
      </c>
      <c r="R161" s="57" t="s">
        <v>571</v>
      </c>
      <c r="S161" s="45"/>
    </row>
    <row r="162" spans="4:19">
      <c r="L162" s="439" t="s">
        <v>137</v>
      </c>
      <c r="M162" s="439"/>
      <c r="N162" s="439"/>
      <c r="O162" s="439"/>
      <c r="P162" s="439"/>
      <c r="Q162" s="90">
        <f>Q163*H12</f>
        <v>8.3999999999999995E-3</v>
      </c>
      <c r="R162" s="90" t="s">
        <v>163</v>
      </c>
      <c r="S162" s="45"/>
    </row>
    <row r="163" spans="4:19">
      <c r="L163" s="57"/>
      <c r="M163" s="440" t="s">
        <v>136</v>
      </c>
      <c r="N163" s="441"/>
      <c r="O163" s="441"/>
      <c r="P163" s="442"/>
      <c r="Q163" s="57">
        <f>(B12-5/100)</f>
        <v>0.7</v>
      </c>
      <c r="R163" s="57" t="s">
        <v>42</v>
      </c>
      <c r="S163" s="45"/>
    </row>
    <row r="164" spans="4:19">
      <c r="S164" s="45"/>
    </row>
    <row r="165" spans="4:19">
      <c r="K165" s="456" t="s">
        <v>566</v>
      </c>
      <c r="L165" s="457"/>
      <c r="M165" s="457"/>
      <c r="N165" s="457"/>
      <c r="O165" s="457"/>
      <c r="P165" s="474"/>
      <c r="Q165" s="57">
        <f>(E6*E3+Q38*B15+B15*B12+Q75*E4)/(9.81)</f>
        <v>1126.7574508078676</v>
      </c>
      <c r="R165" s="57" t="s">
        <v>573</v>
      </c>
      <c r="S165" s="45"/>
    </row>
    <row r="166" spans="4:19">
      <c r="S166" s="45"/>
    </row>
    <row r="167" spans="4:19">
      <c r="K167" s="440" t="s">
        <v>570</v>
      </c>
      <c r="L167" s="441"/>
      <c r="M167" s="441"/>
      <c r="N167" s="441"/>
      <c r="O167" s="441"/>
      <c r="P167" s="442"/>
      <c r="Q167" s="57">
        <f>Q168*Q162/(Q169)</f>
        <v>0.14014830508474574</v>
      </c>
      <c r="R167" s="57" t="s">
        <v>42</v>
      </c>
      <c r="S167" s="45"/>
    </row>
    <row r="168" spans="4:19">
      <c r="D168">
        <v>0.1</v>
      </c>
      <c r="E168">
        <v>0.2</v>
      </c>
      <c r="F168">
        <v>0.3</v>
      </c>
      <c r="G168">
        <v>0.4</v>
      </c>
      <c r="H168">
        <v>0.5</v>
      </c>
      <c r="O168" s="418" t="s">
        <v>146</v>
      </c>
      <c r="P168" s="418"/>
      <c r="Q168" s="57">
        <f>1.05*H14*H18</f>
        <v>3937.5</v>
      </c>
      <c r="R168" s="57" t="s">
        <v>101</v>
      </c>
      <c r="S168" s="45"/>
    </row>
    <row r="169" spans="4:19">
      <c r="D169">
        <v>1</v>
      </c>
      <c r="E169">
        <v>0.87</v>
      </c>
      <c r="F169">
        <v>0.74</v>
      </c>
      <c r="G169">
        <v>0.61499999999999999</v>
      </c>
      <c r="H169">
        <v>0.5</v>
      </c>
      <c r="O169" s="418" t="s">
        <v>147</v>
      </c>
      <c r="P169" s="418"/>
      <c r="Q169" s="57">
        <f>H15*H17</f>
        <v>236</v>
      </c>
      <c r="R169" s="57" t="s">
        <v>101</v>
      </c>
      <c r="S169" s="45"/>
    </row>
    <row r="170" spans="4:19">
      <c r="S170" s="45"/>
    </row>
    <row r="171" spans="4:19">
      <c r="L171" s="418" t="s">
        <v>153</v>
      </c>
      <c r="M171" s="418"/>
      <c r="N171" s="418"/>
      <c r="O171" s="418"/>
      <c r="P171" s="418"/>
      <c r="Q171" s="57">
        <f>-1.255*(B12/B3)+1.1215</f>
        <v>0.88618749999999991</v>
      </c>
      <c r="S171" s="45"/>
    </row>
    <row r="172" spans="4:19">
      <c r="S172" s="45"/>
    </row>
    <row r="173" spans="4:19" ht="16.5" thickBot="1">
      <c r="D173" s="97"/>
      <c r="E173" s="97"/>
      <c r="F173" s="97"/>
      <c r="G173" s="97"/>
      <c r="H173" s="97"/>
      <c r="I173" s="97"/>
      <c r="J173" s="97"/>
      <c r="K173" s="97"/>
      <c r="L173" s="97"/>
      <c r="M173" s="97"/>
      <c r="N173" s="97"/>
      <c r="O173" s="97"/>
      <c r="P173" s="97"/>
      <c r="Q173" s="97"/>
      <c r="R173" s="97"/>
      <c r="S173" s="45"/>
    </row>
    <row r="174" spans="4:19" ht="16.5" thickBot="1">
      <c r="L174" s="428" t="s">
        <v>156</v>
      </c>
      <c r="M174" s="429"/>
      <c r="N174" s="429"/>
      <c r="O174" s="429"/>
      <c r="P174" s="430"/>
      <c r="Q174" s="88">
        <v>5.7</v>
      </c>
      <c r="S174" s="45"/>
    </row>
    <row r="175" spans="4:19" ht="16.5" thickBot="1">
      <c r="L175" t="s">
        <v>154</v>
      </c>
      <c r="M175">
        <f>R116</f>
        <v>0.23778971777086105</v>
      </c>
      <c r="S175" s="45"/>
    </row>
    <row r="176" spans="4:19" ht="16.5" thickBot="1">
      <c r="L176" t="s">
        <v>155</v>
      </c>
      <c r="M176">
        <f>0.2*3.14/Q155</f>
        <v>1.1180994959700096E-3</v>
      </c>
      <c r="O176" s="401" t="str">
        <f>IF(M175&gt;=M176,"الشرط محقق","غير محقق")</f>
        <v>الشرط محقق</v>
      </c>
      <c r="S176" s="45"/>
    </row>
    <row r="177" spans="4:19">
      <c r="S177" s="45"/>
    </row>
    <row r="178" spans="4:19" ht="16.5" thickBot="1">
      <c r="F178" s="96"/>
      <c r="G178" s="96"/>
      <c r="H178" s="96"/>
      <c r="I178" s="96"/>
      <c r="J178" s="96"/>
      <c r="K178" s="96"/>
      <c r="L178" s="96"/>
      <c r="M178" s="96"/>
      <c r="N178" s="96"/>
      <c r="O178" s="96"/>
      <c r="P178" s="96"/>
      <c r="Q178" s="96"/>
      <c r="R178" s="96"/>
      <c r="S178" s="45"/>
    </row>
    <row r="179" spans="4:19" ht="16.5" thickBot="1">
      <c r="L179" s="428" t="s">
        <v>157</v>
      </c>
      <c r="M179" s="429"/>
      <c r="N179" s="429"/>
      <c r="O179" s="429"/>
      <c r="P179" s="430"/>
      <c r="Q179" s="88">
        <v>5.8</v>
      </c>
      <c r="S179" s="45"/>
    </row>
    <row r="180" spans="4:19">
      <c r="S180" s="45"/>
    </row>
    <row r="181" spans="4:19">
      <c r="M181" s="422" t="s">
        <v>158</v>
      </c>
      <c r="N181" s="422"/>
      <c r="O181" s="422"/>
      <c r="P181" s="422"/>
      <c r="Q181" s="95">
        <f>2*H22*Q92</f>
        <v>4.6084144905699675</v>
      </c>
      <c r="R181" s="94" t="s">
        <v>101</v>
      </c>
      <c r="S181" s="45"/>
    </row>
    <row r="182" spans="4:19">
      <c r="S182" s="45"/>
    </row>
    <row r="183" spans="4:19" ht="18.75">
      <c r="L183" s="418" t="s">
        <v>359</v>
      </c>
      <c r="M183" s="418"/>
      <c r="N183" s="418"/>
      <c r="O183" s="418"/>
      <c r="P183" s="91" t="s">
        <v>159</v>
      </c>
      <c r="Q183" s="57">
        <f>P185/(2*J8*Q139*E4)</f>
        <v>0.12418403303423008</v>
      </c>
      <c r="S183" s="45"/>
    </row>
    <row r="184" spans="4:19">
      <c r="S184" s="45"/>
    </row>
    <row r="185" spans="4:19">
      <c r="M185" s="418" t="s">
        <v>231</v>
      </c>
      <c r="N185" s="418"/>
      <c r="O185" s="418"/>
      <c r="P185" s="57">
        <f>H21*1000*1.15/P186</f>
        <v>566.08749999999998</v>
      </c>
      <c r="Q185" s="366" t="s">
        <v>569</v>
      </c>
      <c r="S185" s="45"/>
    </row>
    <row r="186" spans="4:19">
      <c r="M186" s="57"/>
      <c r="N186" s="57"/>
      <c r="O186" s="57" t="s">
        <v>160</v>
      </c>
      <c r="P186" s="57">
        <f>P1*L1</f>
        <v>1000</v>
      </c>
      <c r="Q186" s="57" t="s">
        <v>163</v>
      </c>
      <c r="S186" s="45"/>
    </row>
    <row r="187" spans="4:19" ht="16.5" thickBot="1">
      <c r="D187" s="96"/>
      <c r="E187" s="96"/>
      <c r="F187" s="96"/>
      <c r="G187" s="96"/>
      <c r="H187" s="96"/>
      <c r="I187" s="96"/>
      <c r="J187" s="96"/>
      <c r="K187" s="96"/>
      <c r="L187" s="96"/>
      <c r="M187" s="96"/>
      <c r="N187" s="96"/>
      <c r="O187" s="96"/>
      <c r="P187" s="96"/>
      <c r="Q187" s="96"/>
      <c r="R187" s="96"/>
      <c r="S187" s="45"/>
    </row>
    <row r="188" spans="4:19" ht="16.5" thickBot="1">
      <c r="L188" s="428" t="s">
        <v>167</v>
      </c>
      <c r="M188" s="429"/>
      <c r="N188" s="429"/>
      <c r="O188" s="429"/>
      <c r="P188" s="430"/>
      <c r="Q188" s="98">
        <v>5.9</v>
      </c>
      <c r="S188" s="45"/>
    </row>
    <row r="189" spans="4:19">
      <c r="S189" s="45"/>
    </row>
    <row r="190" spans="4:19">
      <c r="M190" s="422" t="s">
        <v>168</v>
      </c>
      <c r="N190" s="422"/>
      <c r="O190" s="422"/>
      <c r="P190" s="422"/>
      <c r="Q190" s="95">
        <f>H23*0.9*Q181</f>
        <v>3.8157671981919337</v>
      </c>
      <c r="R190" s="94" t="s">
        <v>101</v>
      </c>
      <c r="S190" s="45"/>
    </row>
    <row r="191" spans="4:19">
      <c r="S191" s="45"/>
    </row>
    <row r="192" spans="4:19" ht="18.75">
      <c r="K192" s="418" t="s">
        <v>172</v>
      </c>
      <c r="L192" s="418"/>
      <c r="M192" s="418"/>
      <c r="N192" s="57" t="s">
        <v>169</v>
      </c>
      <c r="O192" s="57"/>
      <c r="P192" s="101" t="s">
        <v>171</v>
      </c>
      <c r="Q192" s="57">
        <f>Q155*Q139</f>
        <v>20.482689626069007</v>
      </c>
      <c r="S192" s="45"/>
    </row>
    <row r="193" spans="4:19">
      <c r="N193" s="57" t="s">
        <v>170</v>
      </c>
      <c r="S193" s="45"/>
    </row>
    <row r="194" spans="4:19" ht="16.5" thickBot="1">
      <c r="D194" s="96"/>
      <c r="E194" s="96"/>
      <c r="F194" s="96"/>
      <c r="G194" s="96"/>
      <c r="H194" s="96"/>
      <c r="I194" s="96"/>
      <c r="J194" s="96"/>
      <c r="K194" s="96"/>
      <c r="L194" s="96"/>
      <c r="M194" s="96"/>
      <c r="N194" s="96"/>
      <c r="O194" s="96"/>
      <c r="P194" s="96"/>
      <c r="Q194" s="96"/>
      <c r="R194" s="96"/>
      <c r="S194" s="45"/>
    </row>
    <row r="195" spans="4:19" ht="16.5" thickBot="1">
      <c r="L195" s="428" t="s">
        <v>174</v>
      </c>
      <c r="M195" s="429"/>
      <c r="N195" s="429"/>
      <c r="O195" s="429"/>
      <c r="P195" s="430"/>
      <c r="Q195" s="116" t="s">
        <v>195</v>
      </c>
      <c r="S195" s="45"/>
    </row>
    <row r="196" spans="4:19">
      <c r="S196" s="45"/>
    </row>
    <row r="197" spans="4:19">
      <c r="M197" s="422" t="s">
        <v>175</v>
      </c>
      <c r="N197" s="422"/>
      <c r="O197" s="422"/>
      <c r="P197" s="422"/>
      <c r="Q197" s="95">
        <f>Q199+Q190</f>
        <v>4.921116257434452</v>
      </c>
      <c r="R197" s="94" t="s">
        <v>101</v>
      </c>
      <c r="S197" s="45"/>
    </row>
    <row r="198" spans="4:19">
      <c r="S198" s="45"/>
    </row>
    <row r="199" spans="4:19" ht="20.25">
      <c r="N199" s="418" t="s">
        <v>614</v>
      </c>
      <c r="O199" s="418"/>
      <c r="P199" s="418"/>
      <c r="Q199" s="57">
        <f>9.81*Q165/10000</f>
        <v>1.1053490592425181</v>
      </c>
      <c r="R199" s="57" t="s">
        <v>101</v>
      </c>
      <c r="S199" s="45"/>
    </row>
    <row r="200" spans="4:19">
      <c r="S200" s="45"/>
    </row>
    <row r="201" spans="4:19" ht="16.5" thickBot="1">
      <c r="D201" s="45"/>
      <c r="E201" s="45"/>
      <c r="F201" s="45"/>
      <c r="G201" s="45"/>
      <c r="H201" s="45"/>
      <c r="I201" s="45"/>
      <c r="J201" s="45"/>
      <c r="K201" s="45"/>
      <c r="L201" s="45"/>
      <c r="M201" s="45"/>
      <c r="N201" s="45"/>
      <c r="O201" s="45"/>
      <c r="P201" s="45"/>
      <c r="Q201" s="45"/>
      <c r="R201" s="45"/>
      <c r="S201" s="45"/>
    </row>
    <row r="202" spans="4:19" ht="16.5" thickBot="1">
      <c r="N202" s="419" t="s">
        <v>200</v>
      </c>
      <c r="O202" s="420"/>
      <c r="P202" s="420"/>
      <c r="Q202" s="25">
        <v>6</v>
      </c>
      <c r="S202" s="45"/>
    </row>
    <row r="203" spans="4:19">
      <c r="S203" s="45"/>
    </row>
    <row r="204" spans="4:19">
      <c r="K204" s="418"/>
      <c r="L204" s="418"/>
      <c r="M204" s="422"/>
      <c r="N204" s="422"/>
      <c r="O204" s="422"/>
      <c r="P204" s="57"/>
      <c r="Q204" s="402">
        <f>Sheet3!O256</f>
        <v>20000000</v>
      </c>
      <c r="R204" t="s">
        <v>196</v>
      </c>
      <c r="S204" s="45"/>
    </row>
    <row r="205" spans="4:19">
      <c r="K205" s="418"/>
      <c r="L205" s="418"/>
      <c r="M205" s="418"/>
      <c r="N205" s="418"/>
      <c r="O205" s="418"/>
      <c r="P205" s="57"/>
      <c r="Q205" s="161"/>
      <c r="S205" s="45"/>
    </row>
    <row r="206" spans="4:19">
      <c r="S206" s="45"/>
    </row>
    <row r="207" spans="4:19" ht="16.5" thickBot="1">
      <c r="E207" s="45"/>
      <c r="F207" s="45"/>
      <c r="G207" s="45"/>
      <c r="H207" s="45"/>
      <c r="I207" s="45"/>
      <c r="J207" s="45"/>
      <c r="K207" s="45"/>
      <c r="L207" s="45"/>
      <c r="M207" s="45"/>
      <c r="N207" s="45"/>
      <c r="O207" s="45"/>
      <c r="P207" s="45"/>
      <c r="Q207" s="45"/>
      <c r="R207" s="45"/>
      <c r="S207" s="45"/>
    </row>
    <row r="208" spans="4:19" ht="16.5" thickBot="1">
      <c r="N208" s="419" t="s">
        <v>197</v>
      </c>
      <c r="O208" s="420"/>
      <c r="P208" s="421"/>
      <c r="Q208" s="117">
        <v>7</v>
      </c>
      <c r="S208" s="45"/>
    </row>
    <row r="209" spans="1:19">
      <c r="S209" s="45"/>
    </row>
    <row r="210" spans="1:19">
      <c r="O210" s="423" t="s">
        <v>198</v>
      </c>
      <c r="P210" s="423"/>
      <c r="Q210" s="367">
        <f>Q212*1.05</f>
        <v>70.459484862523638</v>
      </c>
      <c r="R210" t="s">
        <v>141</v>
      </c>
      <c r="S210" s="45"/>
    </row>
    <row r="211" spans="1:19">
      <c r="S211" s="45"/>
    </row>
    <row r="212" spans="1:19">
      <c r="N212" s="423" t="s">
        <v>199</v>
      </c>
      <c r="O212" s="423"/>
      <c r="P212" s="423"/>
      <c r="Q212">
        <f>((Q204/(0.94*100*Q168*H12))^0.5)</f>
        <v>67.10427129764156</v>
      </c>
      <c r="R212" t="s">
        <v>141</v>
      </c>
      <c r="S212" s="45"/>
    </row>
    <row r="213" spans="1:19">
      <c r="A213" s="45"/>
      <c r="B213" s="45"/>
      <c r="C213" s="45"/>
      <c r="D213" s="45"/>
      <c r="E213" s="45"/>
      <c r="F213" s="45"/>
      <c r="G213" s="45"/>
      <c r="H213" s="45"/>
      <c r="I213" s="45"/>
      <c r="J213" s="45"/>
      <c r="K213" s="45"/>
      <c r="L213" s="45"/>
      <c r="M213" s="45"/>
      <c r="N213" s="45"/>
      <c r="O213" s="45"/>
      <c r="P213" s="45"/>
      <c r="Q213" s="45"/>
      <c r="R213" s="45"/>
      <c r="S213" s="45"/>
    </row>
    <row r="214" spans="1:19" ht="16.5" thickBot="1">
      <c r="A214" s="45"/>
      <c r="B214" s="45"/>
      <c r="C214" s="45"/>
      <c r="D214" s="45"/>
      <c r="E214" s="45"/>
      <c r="F214" s="45"/>
      <c r="G214" s="45"/>
      <c r="H214" s="45"/>
      <c r="I214" s="45"/>
      <c r="J214" s="45"/>
      <c r="K214" s="45"/>
      <c r="L214" s="45"/>
      <c r="M214" s="45"/>
      <c r="N214" s="45"/>
      <c r="O214" s="45"/>
      <c r="P214" s="45"/>
      <c r="Q214" s="45"/>
      <c r="R214" s="45"/>
      <c r="S214" s="45"/>
    </row>
    <row r="215" spans="1:19" ht="16.5" thickBot="1">
      <c r="N215" s="471" t="s">
        <v>201</v>
      </c>
      <c r="O215" s="472"/>
      <c r="P215" s="473"/>
      <c r="Q215" s="118">
        <v>8</v>
      </c>
      <c r="S215" s="45"/>
    </row>
    <row r="216" spans="1:19" ht="16.5" thickBot="1">
      <c r="L216" s="445" t="s">
        <v>202</v>
      </c>
      <c r="M216" s="445"/>
      <c r="N216" s="445"/>
      <c r="O216" s="445"/>
      <c r="P216" s="446"/>
      <c r="Q216" s="115">
        <v>8.1</v>
      </c>
      <c r="S216" s="45"/>
    </row>
    <row r="217" spans="1:19">
      <c r="S217" s="45"/>
    </row>
    <row r="218" spans="1:19">
      <c r="N218" s="422" t="s">
        <v>203</v>
      </c>
      <c r="O218" s="422"/>
      <c r="P218" s="422"/>
      <c r="Q218" s="95">
        <f>(Q219-Q220)/F57</f>
        <v>0.57674956445766346</v>
      </c>
      <c r="S218" s="45"/>
    </row>
    <row r="219" spans="1:19">
      <c r="L219" s="423" t="s">
        <v>204</v>
      </c>
      <c r="M219" s="423"/>
      <c r="N219" s="423"/>
      <c r="O219" s="423"/>
      <c r="P219" s="423"/>
      <c r="Q219">
        <f>E6+Q38+Q75+(B1+B12+B11)/2</f>
        <v>7.5042156903496551</v>
      </c>
      <c r="S219" s="45"/>
    </row>
    <row r="220" spans="1:19">
      <c r="L220" s="423" t="s">
        <v>205</v>
      </c>
      <c r="M220" s="423"/>
      <c r="N220" s="423"/>
      <c r="O220" s="423"/>
      <c r="P220" s="423"/>
      <c r="Q220">
        <f>E6+Q38+F64-0.5*B5*COS(E8*3.14/180)</f>
        <v>3.4417407889294798</v>
      </c>
      <c r="S220" s="45"/>
    </row>
    <row r="221" spans="1:19">
      <c r="C221" s="97"/>
      <c r="D221" s="97"/>
      <c r="E221" s="97"/>
      <c r="F221" s="97"/>
      <c r="G221" s="97"/>
      <c r="H221" s="97"/>
      <c r="I221" s="97"/>
      <c r="J221" s="97"/>
      <c r="K221" s="97"/>
      <c r="L221" s="97"/>
      <c r="M221" s="97"/>
      <c r="N221" s="97"/>
      <c r="O221" s="97"/>
      <c r="P221" s="97"/>
      <c r="Q221" s="97"/>
      <c r="R221" s="97"/>
      <c r="S221" s="45"/>
    </row>
    <row r="222" spans="1:19" ht="16.5" thickBot="1">
      <c r="S222" s="45"/>
    </row>
    <row r="223" spans="1:19" ht="19.5" thickBot="1">
      <c r="M223" s="447"/>
      <c r="N223" s="448"/>
      <c r="O223" s="448"/>
      <c r="P223" s="449"/>
      <c r="S223" s="45"/>
    </row>
    <row r="224" spans="1:19" ht="16.5" thickBot="1">
      <c r="J224" s="450" t="s">
        <v>91</v>
      </c>
      <c r="K224" s="451"/>
      <c r="L224" s="452"/>
      <c r="M224" s="453" t="s">
        <v>82</v>
      </c>
      <c r="N224" s="454"/>
      <c r="O224" s="454"/>
      <c r="P224" s="455"/>
      <c r="Q224" s="85">
        <v>8.1999999999999993</v>
      </c>
      <c r="S224" s="45"/>
    </row>
    <row r="225" spans="4:19">
      <c r="H225" s="423" t="s">
        <v>85</v>
      </c>
      <c r="I225" s="423"/>
      <c r="J225" s="468"/>
      <c r="K225" s="469" t="s">
        <v>209</v>
      </c>
      <c r="L225" s="469"/>
      <c r="M225" s="470"/>
      <c r="N225" s="470"/>
      <c r="O225" s="470"/>
      <c r="Q225" s="57">
        <f>L2*Q89^(-L3)</f>
        <v>7.2733814560763381</v>
      </c>
      <c r="S225" s="45"/>
    </row>
    <row r="226" spans="4:19">
      <c r="H226" s="423" t="s">
        <v>86</v>
      </c>
      <c r="I226" s="423"/>
      <c r="J226" s="468"/>
      <c r="K226" s="54" t="s">
        <v>84</v>
      </c>
      <c r="L226" s="55"/>
      <c r="M226" s="55"/>
      <c r="N226" s="120"/>
      <c r="O226" s="119"/>
      <c r="P226" s="121"/>
      <c r="Q226" s="57">
        <f>0.6*1.1*L2*(Q229)^-L3</f>
        <v>3.1428233471976998</v>
      </c>
      <c r="S226" s="45"/>
    </row>
    <row r="227" spans="4:19">
      <c r="L227" s="57"/>
      <c r="M227" s="418" t="s">
        <v>87</v>
      </c>
      <c r="N227" s="418"/>
      <c r="O227" s="418"/>
      <c r="P227" s="60"/>
      <c r="Q227" s="73">
        <f>Q228/(D44^0.333)</f>
        <v>0.49663737474469005</v>
      </c>
      <c r="S227" s="45"/>
    </row>
    <row r="228" spans="4:19">
      <c r="L228" s="418" t="s">
        <v>567</v>
      </c>
      <c r="M228" s="418"/>
      <c r="N228" s="418"/>
      <c r="O228" s="418"/>
      <c r="P228" s="60"/>
      <c r="Q228" s="57">
        <f>Q220</f>
        <v>3.4417407889294798</v>
      </c>
      <c r="S228" s="45"/>
    </row>
    <row r="229" spans="4:19">
      <c r="K229" s="58"/>
      <c r="L229" s="59"/>
      <c r="M229" s="470" t="s">
        <v>208</v>
      </c>
      <c r="N229" s="470"/>
      <c r="O229" s="470"/>
      <c r="P229" s="456"/>
      <c r="Q229" s="57">
        <f>Q230/D44^0.333</f>
        <v>1.0164</v>
      </c>
      <c r="S229" s="45"/>
    </row>
    <row r="230" spans="4:19">
      <c r="L230" s="57"/>
      <c r="M230" s="418" t="s">
        <v>206</v>
      </c>
      <c r="N230" s="418"/>
      <c r="O230" s="418"/>
      <c r="P230" s="440"/>
      <c r="Q230" s="57">
        <f>Q55-F62</f>
        <v>7.0437416025450377</v>
      </c>
      <c r="S230" s="45"/>
    </row>
    <row r="231" spans="4:19" ht="16.5" thickBot="1">
      <c r="J231" s="122"/>
      <c r="K231" s="122"/>
      <c r="L231" s="123"/>
      <c r="M231" s="456" t="s">
        <v>207</v>
      </c>
      <c r="N231" s="457"/>
      <c r="O231" s="457"/>
      <c r="P231" s="458"/>
      <c r="Q231" s="132">
        <f>H24*D44^0.333</f>
        <v>6.2370793410965506</v>
      </c>
      <c r="S231" s="45"/>
    </row>
    <row r="232" spans="4:19" ht="16.5" thickBot="1">
      <c r="J232" s="122"/>
      <c r="K232" s="122"/>
      <c r="L232" s="122"/>
      <c r="M232" s="122"/>
      <c r="N232" s="122"/>
      <c r="O232" s="122"/>
      <c r="P232" s="125" t="s">
        <v>102</v>
      </c>
      <c r="Q232" s="133">
        <f>IF(Q227&lt;0.7,Q226,Q225)</f>
        <v>3.1428233471976998</v>
      </c>
      <c r="S232" s="45"/>
    </row>
    <row r="233" spans="4:19">
      <c r="J233" s="122"/>
      <c r="K233" s="122"/>
      <c r="L233" s="122"/>
      <c r="M233" s="122"/>
      <c r="N233" s="122"/>
      <c r="O233" s="122"/>
      <c r="P233" s="122"/>
      <c r="Q233" s="122"/>
      <c r="S233" s="45"/>
    </row>
    <row r="234" spans="4:19">
      <c r="J234" s="122"/>
      <c r="K234" s="122"/>
      <c r="L234" s="122"/>
      <c r="M234" s="122"/>
      <c r="N234" s="122"/>
      <c r="O234" s="476" t="str">
        <f>IF(Q230&gt;Q231,F89,F88)</f>
        <v>Rэkв  &gt; ٭R  , الشرط محقق</v>
      </c>
      <c r="P234" s="477"/>
      <c r="Q234" s="134" t="str">
        <f>IF(Q230&gt;Q231,"الشرط محقق","الشرط غير محقق")</f>
        <v>الشرط محقق</v>
      </c>
      <c r="S234" s="45"/>
    </row>
    <row r="235" spans="4:19">
      <c r="J235" s="122"/>
      <c r="K235" s="122"/>
      <c r="L235" s="122"/>
      <c r="M235" s="122"/>
      <c r="N235" s="122"/>
      <c r="O235" s="122"/>
      <c r="P235" s="122"/>
      <c r="Q235" s="122"/>
      <c r="S235" s="45"/>
    </row>
    <row r="236" spans="4:19" ht="16.5" thickBot="1">
      <c r="D236" s="96"/>
      <c r="E236" s="96"/>
      <c r="F236" s="96"/>
      <c r="G236" s="96"/>
      <c r="H236" s="96"/>
      <c r="I236" s="96"/>
      <c r="J236" s="135"/>
      <c r="K236" s="135"/>
      <c r="L236" s="135"/>
      <c r="M236" s="135"/>
      <c r="N236" s="135"/>
      <c r="O236" s="135"/>
      <c r="P236" s="135"/>
      <c r="Q236" s="135"/>
      <c r="R236" s="96"/>
      <c r="S236" s="45"/>
    </row>
    <row r="237" spans="4:19" ht="19.5" thickBot="1">
      <c r="J237" s="122"/>
      <c r="K237" s="122"/>
      <c r="L237" s="122"/>
      <c r="M237" s="122"/>
      <c r="N237" s="462" t="s">
        <v>108</v>
      </c>
      <c r="O237" s="463"/>
      <c r="P237" s="464"/>
      <c r="Q237" s="88">
        <v>8.3000000000000007</v>
      </c>
      <c r="S237" s="45"/>
    </row>
    <row r="238" spans="4:19">
      <c r="J238" s="122"/>
      <c r="K238" s="122"/>
      <c r="L238" s="122"/>
      <c r="M238" s="122"/>
      <c r="N238" s="122"/>
      <c r="O238" s="122"/>
      <c r="P238" s="122"/>
      <c r="Q238" s="122"/>
      <c r="S238" s="45"/>
    </row>
    <row r="239" spans="4:19">
      <c r="J239" s="122"/>
      <c r="K239" s="122"/>
      <c r="L239" s="122"/>
      <c r="M239" s="136" t="s">
        <v>111</v>
      </c>
      <c r="N239" s="440" t="s">
        <v>212</v>
      </c>
      <c r="O239" s="441"/>
      <c r="P239" s="442"/>
      <c r="Q239" s="123">
        <f>L4*((D44)^0.333)+Q90*L5</f>
        <v>6.8487016328266564E-2</v>
      </c>
      <c r="S239" s="45"/>
    </row>
    <row r="240" spans="4:19">
      <c r="J240" s="122"/>
      <c r="K240" s="122"/>
      <c r="L240" s="122"/>
      <c r="M240" s="136" t="s">
        <v>110</v>
      </c>
      <c r="N240" s="440" t="s">
        <v>565</v>
      </c>
      <c r="O240" s="441"/>
      <c r="P240" s="442"/>
      <c r="Q240" s="123">
        <f>0.0035*L6*D44^0.333</f>
        <v>2.6680839403579692E-2</v>
      </c>
      <c r="S240" s="45"/>
    </row>
    <row r="241" spans="4:19">
      <c r="J241" s="122"/>
      <c r="K241" s="122"/>
      <c r="L241" s="122"/>
      <c r="M241" s="123"/>
      <c r="N241" s="123"/>
      <c r="O241" s="123"/>
      <c r="P241" s="124" t="s">
        <v>112</v>
      </c>
      <c r="Q241" s="124">
        <f>IF(Q229&gt;0.375,Q239,Q240)</f>
        <v>6.8487016328266564E-2</v>
      </c>
      <c r="S241" s="45"/>
    </row>
    <row r="242" spans="4:19" ht="16.5" thickBot="1">
      <c r="D242" s="96"/>
      <c r="E242" s="96"/>
      <c r="F242" s="96"/>
      <c r="G242" s="96"/>
      <c r="H242" s="96"/>
      <c r="I242" s="96"/>
      <c r="J242" s="135"/>
      <c r="K242" s="135"/>
      <c r="L242" s="135"/>
      <c r="M242" s="135"/>
      <c r="N242" s="135"/>
      <c r="O242" s="135"/>
      <c r="P242" s="135"/>
      <c r="Q242" s="135"/>
      <c r="R242" s="96"/>
      <c r="S242" s="45"/>
    </row>
    <row r="243" spans="4:19" ht="19.5" thickBot="1">
      <c r="J243" s="122"/>
      <c r="K243" s="122"/>
      <c r="L243" s="122"/>
      <c r="M243" s="122"/>
      <c r="N243" s="462" t="s">
        <v>107</v>
      </c>
      <c r="O243" s="463"/>
      <c r="P243" s="464"/>
      <c r="Q243" s="88">
        <v>8.4</v>
      </c>
      <c r="S243" s="45"/>
    </row>
    <row r="244" spans="4:19" ht="16.5" thickBot="1">
      <c r="S244" s="45"/>
    </row>
    <row r="245" spans="4:19" ht="16.5" thickBot="1">
      <c r="L245" s="465" t="s">
        <v>115</v>
      </c>
      <c r="M245" s="466"/>
      <c r="N245" s="466"/>
      <c r="O245" s="466"/>
      <c r="P245" s="466"/>
      <c r="Q245" s="467"/>
      <c r="R245" s="85">
        <f>Q241*(0.0008*((Q232)^2)-0.0384*Q232+1.0013)</f>
        <v>6.0851909403399247E-2</v>
      </c>
      <c r="S245" s="45"/>
    </row>
    <row r="246" spans="4:19">
      <c r="S246" s="45"/>
    </row>
    <row r="247" spans="4:19" ht="16.5" thickBot="1">
      <c r="F247" s="96"/>
      <c r="G247" s="96"/>
      <c r="H247" s="96"/>
      <c r="I247" s="96"/>
      <c r="J247" s="96"/>
      <c r="K247" s="96"/>
      <c r="L247" s="96"/>
      <c r="M247" s="96"/>
      <c r="N247" s="96"/>
      <c r="O247" s="96"/>
      <c r="P247" s="96"/>
      <c r="Q247" s="96"/>
      <c r="R247" s="96"/>
      <c r="S247" s="45"/>
    </row>
    <row r="248" spans="4:19" ht="21" thickBot="1">
      <c r="L248" s="450" t="s">
        <v>118</v>
      </c>
      <c r="M248" s="459"/>
      <c r="N248" s="459"/>
      <c r="O248" s="459"/>
      <c r="P248" s="460"/>
      <c r="Q248" s="88">
        <v>8.5</v>
      </c>
      <c r="S248" s="45"/>
    </row>
    <row r="249" spans="4:19">
      <c r="S249" s="45"/>
    </row>
    <row r="250" spans="4:19">
      <c r="S250" s="45"/>
    </row>
    <row r="251" spans="4:19" ht="20.25">
      <c r="L251" s="461" t="s">
        <v>119</v>
      </c>
      <c r="M251" s="422"/>
      <c r="N251" s="422"/>
      <c r="O251" s="422"/>
      <c r="P251" s="422"/>
      <c r="Q251" s="95">
        <f>((O255-O256)/(O255*O256))*(Q202-Q203)</f>
        <v>1.1111111111111112E-2</v>
      </c>
      <c r="R251" t="s">
        <v>127</v>
      </c>
      <c r="S251" s="45"/>
    </row>
    <row r="252" spans="4:19" ht="16.5" thickBot="1">
      <c r="S252" s="45"/>
    </row>
    <row r="253" spans="4:19" ht="16.5" thickBot="1">
      <c r="J253" s="443" t="s">
        <v>216</v>
      </c>
      <c r="K253" s="444"/>
      <c r="L253" s="443" t="s">
        <v>217</v>
      </c>
      <c r="M253" s="444"/>
      <c r="N253" s="475"/>
      <c r="O253" s="89">
        <f>Q219</f>
        <v>7.5042156903496551</v>
      </c>
      <c r="P253" t="s">
        <v>42</v>
      </c>
      <c r="S253" s="45"/>
    </row>
    <row r="254" spans="4:19">
      <c r="S254" s="45"/>
    </row>
    <row r="255" spans="4:19">
      <c r="M255" s="423" t="s">
        <v>122</v>
      </c>
      <c r="N255" s="423"/>
      <c r="O255">
        <f>(L7+L9)/2</f>
        <v>540</v>
      </c>
      <c r="P255" t="s">
        <v>125</v>
      </c>
      <c r="S255" s="45"/>
    </row>
    <row r="256" spans="4:19">
      <c r="M256" s="423" t="s">
        <v>123</v>
      </c>
      <c r="N256" s="423"/>
      <c r="O256">
        <f>(N8+L10)/2</f>
        <v>270</v>
      </c>
      <c r="P256" t="s">
        <v>125</v>
      </c>
      <c r="S256" s="45"/>
    </row>
    <row r="257" spans="4:19">
      <c r="S257" s="45"/>
    </row>
    <row r="258" spans="4:19">
      <c r="I258" s="423" t="s">
        <v>124</v>
      </c>
      <c r="J258" s="423"/>
      <c r="K258" s="423"/>
      <c r="L258" s="423"/>
      <c r="M258" s="423"/>
      <c r="N258" s="423"/>
      <c r="O258" s="423"/>
      <c r="P258" s="423"/>
      <c r="Q258" s="423"/>
      <c r="S258" s="45"/>
    </row>
    <row r="259" spans="4:19">
      <c r="D259" s="96"/>
      <c r="E259" s="96"/>
      <c r="F259" s="96"/>
      <c r="G259" s="96"/>
      <c r="H259" s="96"/>
      <c r="I259" s="96"/>
      <c r="J259" s="96"/>
      <c r="K259" s="96"/>
      <c r="L259" s="96"/>
      <c r="M259" s="96"/>
      <c r="N259" s="96"/>
      <c r="O259" s="96"/>
      <c r="P259" s="96"/>
      <c r="Q259" s="96"/>
      <c r="R259" s="96"/>
      <c r="S259" s="45"/>
    </row>
    <row r="260" spans="4:19" ht="16.5" thickBot="1">
      <c r="J260" s="423"/>
      <c r="K260" s="423"/>
      <c r="M260" s="423"/>
      <c r="N260" s="423"/>
      <c r="O260" s="20"/>
      <c r="S260" s="45"/>
    </row>
    <row r="261" spans="4:19" ht="21" thickBot="1">
      <c r="L261" s="450" t="s">
        <v>128</v>
      </c>
      <c r="M261" s="459"/>
      <c r="N261" s="459"/>
      <c r="O261" s="459"/>
      <c r="P261" s="460"/>
      <c r="Q261" s="88">
        <v>8.6</v>
      </c>
      <c r="S261" s="45"/>
    </row>
    <row r="262" spans="4:19">
      <c r="S262" s="45"/>
    </row>
    <row r="263" spans="4:19">
      <c r="J263" s="57"/>
      <c r="K263" s="57"/>
      <c r="L263" s="57"/>
      <c r="M263" s="57"/>
      <c r="N263" s="57"/>
      <c r="O263" s="57"/>
      <c r="P263" s="57"/>
      <c r="Q263" s="57"/>
      <c r="R263" s="57"/>
      <c r="S263" s="45"/>
    </row>
    <row r="264" spans="4:19">
      <c r="J264" s="57"/>
      <c r="K264" s="57"/>
      <c r="L264" s="461" t="s">
        <v>219</v>
      </c>
      <c r="M264" s="422"/>
      <c r="N264" s="422"/>
      <c r="O264" s="422"/>
      <c r="P264" s="422"/>
      <c r="Q264" s="95">
        <f>((1/(B1))^2)*Q265*Q280*((Q270/Q274)^0.5)</f>
        <v>1024.0477954055639</v>
      </c>
      <c r="R264" s="57"/>
      <c r="S264" s="45"/>
    </row>
    <row r="265" spans="4:19">
      <c r="J265" s="57"/>
      <c r="K265" s="57"/>
      <c r="L265" s="57"/>
      <c r="M265" s="57"/>
      <c r="N265" s="57"/>
      <c r="O265" s="57"/>
      <c r="P265" s="91" t="s">
        <v>143</v>
      </c>
      <c r="Q265" s="137">
        <f>IF(H13=1,Q267,Q266)</f>
        <v>72.081111111111127</v>
      </c>
      <c r="R265" s="57"/>
      <c r="S265" s="45"/>
    </row>
    <row r="266" spans="4:19">
      <c r="J266" s="57"/>
      <c r="K266" s="57" t="s">
        <v>130</v>
      </c>
      <c r="L266" s="418" t="s">
        <v>129</v>
      </c>
      <c r="M266" s="418"/>
      <c r="N266" s="418"/>
      <c r="O266" s="418"/>
      <c r="P266" s="418"/>
      <c r="Q266" s="137">
        <f>9.87*(1+(Q269)^2)</f>
        <v>37.286666666666669</v>
      </c>
      <c r="R266" s="57"/>
      <c r="S266" s="45"/>
    </row>
    <row r="267" spans="4:19">
      <c r="J267" s="57"/>
      <c r="K267" s="57" t="s">
        <v>131</v>
      </c>
      <c r="L267" s="418" t="s">
        <v>132</v>
      </c>
      <c r="M267" s="418"/>
      <c r="N267" s="418"/>
      <c r="O267" s="418"/>
      <c r="P267" s="418"/>
      <c r="Q267" s="137">
        <f>22.37*(1+0.6*((Q269)^2)+((Q269)^4))^0.5</f>
        <v>72.081111111111127</v>
      </c>
      <c r="R267" s="57"/>
      <c r="S267" s="45"/>
    </row>
    <row r="268" spans="4:19">
      <c r="J268" s="57"/>
      <c r="K268" s="57"/>
      <c r="L268" s="57"/>
      <c r="M268" s="57"/>
      <c r="N268" s="440" t="s">
        <v>220</v>
      </c>
      <c r="O268" s="441"/>
      <c r="P268" s="442"/>
      <c r="Q268" s="57"/>
      <c r="R268" s="57"/>
      <c r="S268" s="45"/>
    </row>
    <row r="269" spans="4:19">
      <c r="J269" s="57" t="s">
        <v>134</v>
      </c>
      <c r="K269" s="418"/>
      <c r="L269" s="418"/>
      <c r="M269" s="436" t="s">
        <v>221</v>
      </c>
      <c r="N269" s="437"/>
      <c r="O269" s="437"/>
      <c r="P269" s="438"/>
      <c r="Q269" s="138">
        <f>B2/B1</f>
        <v>1.6666666666666667</v>
      </c>
      <c r="R269" s="57"/>
      <c r="S269" s="45"/>
    </row>
    <row r="270" spans="4:19">
      <c r="J270" s="57"/>
      <c r="K270" s="57"/>
      <c r="L270" s="418" t="s">
        <v>572</v>
      </c>
      <c r="M270" s="418"/>
      <c r="N270" s="418"/>
      <c r="O270" s="418"/>
      <c r="P270" s="418"/>
      <c r="Q270" s="137">
        <f>0.85*H11*Q271*(Q272-Q276)*(Q272-0.5*Q276)*10000</f>
        <v>14048286.449192381</v>
      </c>
      <c r="R270" s="57" t="s">
        <v>576</v>
      </c>
      <c r="S270" s="45"/>
    </row>
    <row r="271" spans="4:19">
      <c r="L271" s="439" t="s">
        <v>575</v>
      </c>
      <c r="M271" s="439"/>
      <c r="N271" s="439"/>
      <c r="O271" s="439"/>
      <c r="P271" s="439"/>
      <c r="Q271" s="139">
        <f>Q272*H12</f>
        <v>5.4000000000000003E-3</v>
      </c>
      <c r="R271" s="90" t="s">
        <v>163</v>
      </c>
      <c r="S271" s="45"/>
    </row>
    <row r="272" spans="4:19">
      <c r="L272" s="57"/>
      <c r="M272" s="440" t="s">
        <v>222</v>
      </c>
      <c r="N272" s="441"/>
      <c r="O272" s="441"/>
      <c r="P272" s="442"/>
      <c r="Q272" s="138">
        <f>-0.05+B9</f>
        <v>0.45</v>
      </c>
      <c r="R272" s="57" t="s">
        <v>42</v>
      </c>
      <c r="S272" s="45"/>
    </row>
    <row r="273" spans="4:19">
      <c r="S273" s="45"/>
    </row>
    <row r="274" spans="4:19">
      <c r="K274" s="440" t="s">
        <v>568</v>
      </c>
      <c r="L274" s="441"/>
      <c r="M274" s="441"/>
      <c r="N274" s="441"/>
      <c r="O274" s="441"/>
      <c r="P274" s="442"/>
      <c r="Q274" s="57">
        <f>B16*O253*L11/9.81</f>
        <v>715.23360555320369</v>
      </c>
      <c r="R274" s="57" t="s">
        <v>577</v>
      </c>
      <c r="S274" s="45"/>
    </row>
    <row r="275" spans="4:19">
      <c r="S275" s="45"/>
    </row>
    <row r="276" spans="4:19">
      <c r="K276" s="440" t="s">
        <v>570</v>
      </c>
      <c r="L276" s="441"/>
      <c r="M276" s="441"/>
      <c r="N276" s="441"/>
      <c r="O276" s="441"/>
      <c r="P276" s="442"/>
      <c r="Q276" s="57">
        <f>Q277*Q271/(Q278)</f>
        <v>9.009533898305086E-2</v>
      </c>
      <c r="R276" s="57" t="s">
        <v>42</v>
      </c>
      <c r="S276" s="45"/>
    </row>
    <row r="277" spans="4:19">
      <c r="O277" s="418" t="s">
        <v>146</v>
      </c>
      <c r="P277" s="418"/>
      <c r="Q277" s="57">
        <f>1.05*H14*K18</f>
        <v>3937.5</v>
      </c>
      <c r="R277" s="57" t="s">
        <v>101</v>
      </c>
      <c r="S277" s="45"/>
    </row>
    <row r="278" spans="4:19">
      <c r="O278" s="418" t="s">
        <v>147</v>
      </c>
      <c r="P278" s="418"/>
      <c r="Q278" s="57">
        <f>H15*K17</f>
        <v>236</v>
      </c>
      <c r="R278" s="57" t="s">
        <v>101</v>
      </c>
      <c r="S278" s="45"/>
    </row>
    <row r="279" spans="4:19">
      <c r="S279" s="45"/>
    </row>
    <row r="280" spans="4:19">
      <c r="L280" s="418" t="s">
        <v>223</v>
      </c>
      <c r="M280" s="418"/>
      <c r="N280" s="418"/>
      <c r="O280" s="418"/>
      <c r="P280" s="418"/>
      <c r="Q280" s="57">
        <f>-1.255*(B9/B1)+1.1215</f>
        <v>0.91233333333333333</v>
      </c>
      <c r="S280" s="45"/>
    </row>
    <row r="281" spans="4:19">
      <c r="S281" s="45"/>
    </row>
    <row r="282" spans="4:19" ht="16.5" thickBot="1">
      <c r="D282" s="96"/>
      <c r="E282" s="96"/>
      <c r="F282" s="96"/>
      <c r="G282" s="96"/>
      <c r="H282" s="96"/>
      <c r="I282" s="96"/>
      <c r="J282" s="96"/>
      <c r="K282" s="96"/>
      <c r="L282" s="96"/>
      <c r="M282" s="96"/>
      <c r="N282" s="96"/>
      <c r="O282" s="96"/>
      <c r="P282" s="96"/>
      <c r="Q282" s="96"/>
      <c r="R282" s="96"/>
      <c r="S282" s="45"/>
    </row>
    <row r="283" spans="4:19" ht="16.5" thickBot="1">
      <c r="L283" s="428" t="s">
        <v>156</v>
      </c>
      <c r="M283" s="429"/>
      <c r="N283" s="429"/>
      <c r="O283" s="429"/>
      <c r="P283" s="430"/>
      <c r="Q283" s="88">
        <v>8.6999999999999993</v>
      </c>
      <c r="S283" s="45"/>
    </row>
    <row r="284" spans="4:19" ht="16.5" thickBot="1">
      <c r="L284" t="s">
        <v>154</v>
      </c>
      <c r="M284">
        <f>R245</f>
        <v>6.0851909403399247E-2</v>
      </c>
      <c r="S284" s="45"/>
    </row>
    <row r="285" spans="4:19" ht="16.5" thickBot="1">
      <c r="L285" t="s">
        <v>155</v>
      </c>
      <c r="M285">
        <f>0.2*3.14/Q264</f>
        <v>6.1325262631055908E-4</v>
      </c>
      <c r="O285" s="143" t="str">
        <f>IF(M284&gt;=M285,"الشرط محقق","غير محقق")</f>
        <v>الشرط محقق</v>
      </c>
      <c r="S285" s="45"/>
    </row>
    <row r="286" spans="4:19">
      <c r="S286" s="45"/>
    </row>
    <row r="287" spans="4:19" ht="16.5" thickBot="1">
      <c r="D287" s="96"/>
      <c r="E287" s="96"/>
      <c r="F287" s="96"/>
      <c r="G287" s="96"/>
      <c r="H287" s="96"/>
      <c r="I287" s="96"/>
      <c r="J287" s="96"/>
      <c r="K287" s="96"/>
      <c r="L287" s="96"/>
      <c r="M287" s="96"/>
      <c r="N287" s="96"/>
      <c r="O287" s="96"/>
      <c r="P287" s="96"/>
      <c r="Q287" s="96"/>
      <c r="R287" s="96"/>
      <c r="S287" s="45"/>
    </row>
    <row r="288" spans="4:19" ht="16.5" thickBot="1">
      <c r="L288" s="428" t="s">
        <v>157</v>
      </c>
      <c r="M288" s="543"/>
      <c r="N288" s="543"/>
      <c r="O288" s="543"/>
      <c r="P288" s="544"/>
      <c r="Q288" s="144">
        <v>8.8000000000000007</v>
      </c>
      <c r="S288" s="45"/>
    </row>
    <row r="289" spans="4:19">
      <c r="M289" s="422" t="s">
        <v>227</v>
      </c>
      <c r="N289" s="422"/>
      <c r="O289" s="422"/>
      <c r="P289" s="422"/>
      <c r="Q289" s="422"/>
      <c r="R289" s="95">
        <f>Q290*(((COS(O293))^2)+L11*(SIN(O293))^2)*(COS(O293))^L3</f>
        <v>3.6268946476430557</v>
      </c>
      <c r="S289" s="45"/>
    </row>
    <row r="290" spans="4:19">
      <c r="M290" s="545" t="s">
        <v>158</v>
      </c>
      <c r="N290" s="545"/>
      <c r="O290" s="545"/>
      <c r="P290" s="545"/>
      <c r="Q290" s="151">
        <f>2*H25*Q232</f>
        <v>6.2856466943953997</v>
      </c>
      <c r="R290" s="152" t="s">
        <v>101</v>
      </c>
      <c r="S290" s="45"/>
    </row>
    <row r="291" spans="4:19">
      <c r="N291" s="129"/>
      <c r="S291" s="45"/>
    </row>
    <row r="292" spans="4:19" ht="18.75">
      <c r="L292" s="418" t="s">
        <v>360</v>
      </c>
      <c r="M292" s="418"/>
      <c r="N292" s="418"/>
      <c r="O292" s="418"/>
      <c r="P292" s="91" t="s">
        <v>159</v>
      </c>
      <c r="Q292" s="57">
        <f>P294/(2*N8*Q251*L13)</f>
        <v>3.1449305555555558</v>
      </c>
      <c r="S292" s="45"/>
    </row>
    <row r="293" spans="4:19">
      <c r="N293" s="150" t="s">
        <v>236</v>
      </c>
      <c r="O293">
        <f>ATAN(Q218)</f>
        <v>0.52314812986111014</v>
      </c>
      <c r="P293" t="s">
        <v>237</v>
      </c>
      <c r="S293" s="45"/>
    </row>
    <row r="294" spans="4:19">
      <c r="M294" s="418" t="s">
        <v>232</v>
      </c>
      <c r="N294" s="418"/>
      <c r="O294" s="418"/>
      <c r="P294" s="57">
        <f>H21*1000*1.15/P295</f>
        <v>3144.9305555555557</v>
      </c>
      <c r="Q294" s="57" t="s">
        <v>165</v>
      </c>
      <c r="S294" s="45"/>
    </row>
    <row r="295" spans="4:19">
      <c r="M295" s="57"/>
      <c r="N295" s="57"/>
      <c r="O295" s="57" t="s">
        <v>228</v>
      </c>
      <c r="P295" s="57">
        <f>(B1+0.5*B11+0.5*B12)*L1</f>
        <v>180</v>
      </c>
      <c r="Q295" s="57" t="s">
        <v>163</v>
      </c>
      <c r="S295" s="45"/>
    </row>
    <row r="296" spans="4:19">
      <c r="S296" s="45"/>
    </row>
    <row r="297" spans="4:19" ht="16.5" thickBot="1">
      <c r="D297" s="149"/>
      <c r="E297" s="149"/>
      <c r="F297" s="149"/>
      <c r="G297" s="149"/>
      <c r="H297" s="149"/>
      <c r="I297" s="149"/>
      <c r="J297" s="149"/>
      <c r="K297" s="149"/>
      <c r="L297" s="149"/>
      <c r="M297" s="149"/>
      <c r="N297" s="149"/>
      <c r="O297" s="149"/>
      <c r="P297" s="149"/>
      <c r="Q297" s="149"/>
      <c r="R297" s="149"/>
      <c r="S297" s="45"/>
    </row>
    <row r="298" spans="4:19" ht="16.5" thickBot="1">
      <c r="L298" s="428" t="s">
        <v>167</v>
      </c>
      <c r="M298" s="429"/>
      <c r="N298" s="429"/>
      <c r="O298" s="429"/>
      <c r="P298" s="430"/>
      <c r="Q298" s="140">
        <v>5.9</v>
      </c>
      <c r="S298" s="45"/>
    </row>
    <row r="299" spans="4:19">
      <c r="S299" s="45"/>
    </row>
    <row r="300" spans="4:19">
      <c r="M300" s="422" t="s">
        <v>168</v>
      </c>
      <c r="N300" s="422"/>
      <c r="O300" s="422"/>
      <c r="P300" s="422"/>
      <c r="Q300" s="95">
        <f>R289*0.85*H26</f>
        <v>3.0828604504965971</v>
      </c>
      <c r="R300" s="141" t="s">
        <v>101</v>
      </c>
      <c r="S300" s="45"/>
    </row>
    <row r="301" spans="4:19">
      <c r="S301" s="45"/>
    </row>
    <row r="302" spans="4:19" ht="18.75">
      <c r="K302" s="418" t="s">
        <v>172</v>
      </c>
      <c r="L302" s="418"/>
      <c r="M302" s="418"/>
      <c r="N302" s="57" t="s">
        <v>169</v>
      </c>
      <c r="O302" s="57"/>
      <c r="P302" s="101" t="s">
        <v>171</v>
      </c>
      <c r="Q302" s="57">
        <f>Q264*Q251</f>
        <v>11.378308837839599</v>
      </c>
      <c r="S302" s="45"/>
    </row>
    <row r="303" spans="4:19">
      <c r="N303" s="57" t="s">
        <v>238</v>
      </c>
      <c r="S303" s="45"/>
    </row>
    <row r="304" spans="4:19" ht="16.5" thickBot="1">
      <c r="D304" s="96"/>
      <c r="E304" s="96"/>
      <c r="F304" s="96"/>
      <c r="G304" s="96"/>
      <c r="H304" s="96"/>
      <c r="I304" s="96"/>
      <c r="J304" s="96"/>
      <c r="K304" s="96"/>
      <c r="L304" s="96"/>
      <c r="M304" s="96"/>
      <c r="N304" s="96"/>
      <c r="O304" s="96"/>
      <c r="P304" s="96"/>
      <c r="Q304" s="96"/>
      <c r="R304" s="96"/>
      <c r="S304" s="45"/>
    </row>
    <row r="305" spans="3:19" ht="16.5" thickBot="1">
      <c r="L305" s="428" t="s">
        <v>174</v>
      </c>
      <c r="M305" s="429"/>
      <c r="N305" s="429"/>
      <c r="O305" s="429"/>
      <c r="P305" s="430"/>
      <c r="Q305" s="116" t="s">
        <v>242</v>
      </c>
      <c r="S305" s="45"/>
    </row>
    <row r="306" spans="3:19">
      <c r="S306" s="45"/>
    </row>
    <row r="307" spans="3:19">
      <c r="M307" s="422" t="s">
        <v>175</v>
      </c>
      <c r="N307" s="422"/>
      <c r="O307" s="422"/>
      <c r="P307" s="422"/>
      <c r="Q307" s="95">
        <f>Q309+Q300</f>
        <v>3.78450461754429</v>
      </c>
      <c r="R307" s="141" t="s">
        <v>101</v>
      </c>
      <c r="S307" s="45"/>
    </row>
    <row r="308" spans="3:19">
      <c r="S308" s="45"/>
    </row>
    <row r="309" spans="3:19" ht="20.25">
      <c r="N309" s="418" t="s">
        <v>614</v>
      </c>
      <c r="O309" s="418"/>
      <c r="P309" s="418"/>
      <c r="Q309" s="57">
        <f>9.81*Q274/10000</f>
        <v>0.70164416704769283</v>
      </c>
      <c r="R309" s="57" t="s">
        <v>101</v>
      </c>
      <c r="S309" s="45"/>
    </row>
    <row r="310" spans="3:19">
      <c r="S310" s="45"/>
    </row>
    <row r="311" spans="3:19" ht="16.5" thickBot="1">
      <c r="D311" s="96"/>
      <c r="E311" s="96"/>
      <c r="F311" s="96"/>
      <c r="G311" s="96"/>
      <c r="H311" s="96"/>
      <c r="I311" s="96"/>
      <c r="J311" s="96"/>
      <c r="K311" s="96"/>
      <c r="L311" s="96"/>
      <c r="M311" s="96"/>
      <c r="N311" s="96"/>
      <c r="O311" s="96"/>
      <c r="P311" s="96"/>
      <c r="Q311" s="96"/>
      <c r="R311" s="96"/>
      <c r="S311" s="45"/>
    </row>
    <row r="312" spans="3:19" ht="16.5" thickBot="1">
      <c r="N312" s="419" t="s">
        <v>243</v>
      </c>
      <c r="O312" s="420"/>
      <c r="P312" s="420"/>
      <c r="Q312" s="25">
        <v>9</v>
      </c>
      <c r="S312" s="45"/>
    </row>
    <row r="313" spans="3:19">
      <c r="S313" s="45"/>
    </row>
    <row r="314" spans="3:19">
      <c r="K314" s="418"/>
      <c r="L314" s="418"/>
      <c r="M314" s="422"/>
      <c r="N314" s="422"/>
      <c r="O314" s="422"/>
      <c r="P314" s="57"/>
      <c r="Q314" s="95">
        <f>Sheet3!O257</f>
        <v>10000000</v>
      </c>
      <c r="R314" t="s">
        <v>196</v>
      </c>
      <c r="S314" s="45"/>
    </row>
    <row r="315" spans="3:19">
      <c r="K315" s="418"/>
      <c r="L315" s="418"/>
      <c r="M315" s="418"/>
      <c r="N315" s="418"/>
      <c r="O315" s="418"/>
      <c r="P315" s="57"/>
      <c r="Q315" s="57"/>
      <c r="S315" s="45"/>
    </row>
    <row r="316" spans="3:19">
      <c r="S316" s="45"/>
    </row>
    <row r="317" spans="3:19" ht="16.5" thickBot="1">
      <c r="C317" s="96"/>
      <c r="D317" s="96"/>
      <c r="E317" s="96"/>
      <c r="F317" s="96"/>
      <c r="G317" s="96"/>
      <c r="H317" s="96"/>
      <c r="I317" s="96"/>
      <c r="J317" s="96"/>
      <c r="K317" s="96"/>
      <c r="L317" s="96"/>
      <c r="M317" s="96"/>
      <c r="N317" s="96"/>
      <c r="O317" s="96"/>
      <c r="P317" s="96"/>
      <c r="Q317" s="96"/>
      <c r="R317" s="96"/>
      <c r="S317" s="45"/>
    </row>
    <row r="318" spans="3:19" ht="16.5" thickBot="1">
      <c r="F318" s="274" t="s">
        <v>508</v>
      </c>
      <c r="G318" s="274" t="s">
        <v>510</v>
      </c>
      <c r="H318" s="274"/>
      <c r="I318" s="274">
        <f>0.85*Q320</f>
        <v>42.349022613421155</v>
      </c>
      <c r="J318" t="s">
        <v>141</v>
      </c>
      <c r="K318" s="97"/>
      <c r="N318" s="419" t="s">
        <v>244</v>
      </c>
      <c r="O318" s="420"/>
      <c r="P318" s="421"/>
      <c r="Q318" s="117">
        <v>7</v>
      </c>
      <c r="S318" s="45"/>
    </row>
    <row r="319" spans="3:19">
      <c r="K319" s="97"/>
      <c r="S319" s="45"/>
    </row>
    <row r="320" spans="3:19">
      <c r="F320" s="240" t="s">
        <v>509</v>
      </c>
      <c r="G320" s="240" t="s">
        <v>511</v>
      </c>
      <c r="H320" s="240"/>
      <c r="I320" s="240">
        <v>30</v>
      </c>
      <c r="J320" t="s">
        <v>141</v>
      </c>
      <c r="K320" s="97"/>
      <c r="O320" s="422" t="s">
        <v>245</v>
      </c>
      <c r="P320" s="422"/>
      <c r="Q320" s="238">
        <f>Q322*1.05</f>
        <v>49.822379545201365</v>
      </c>
      <c r="R320" t="s">
        <v>141</v>
      </c>
      <c r="S320" s="45"/>
    </row>
    <row r="321" spans="5:19">
      <c r="K321" s="97"/>
      <c r="S321" s="45"/>
    </row>
    <row r="322" spans="5:19">
      <c r="K322" s="97"/>
      <c r="N322" s="423" t="s">
        <v>199</v>
      </c>
      <c r="O322" s="423"/>
      <c r="P322" s="423"/>
      <c r="Q322">
        <f>((Q314/(0.94*100*Q277*H12))^0.5)</f>
        <v>47.449885281144155</v>
      </c>
      <c r="R322" t="s">
        <v>141</v>
      </c>
      <c r="S322" s="45"/>
    </row>
    <row r="323" spans="5:19">
      <c r="K323" s="97"/>
      <c r="S323" s="45"/>
    </row>
    <row r="324" spans="5:19">
      <c r="E324" s="45"/>
      <c r="F324" s="45"/>
      <c r="G324" s="45"/>
      <c r="H324" s="45"/>
      <c r="I324" s="45"/>
      <c r="J324" s="45"/>
      <c r="K324" s="45"/>
      <c r="L324" s="45"/>
      <c r="M324" s="45"/>
      <c r="N324" s="45"/>
      <c r="O324" s="45"/>
      <c r="P324" s="45"/>
      <c r="Q324" s="45"/>
      <c r="R324" s="45"/>
      <c r="S324" s="45"/>
    </row>
    <row r="325" spans="5:19">
      <c r="S325" s="45"/>
    </row>
    <row r="326" spans="5:19">
      <c r="E326" s="45"/>
      <c r="F326" s="45"/>
      <c r="G326" s="45"/>
      <c r="H326" s="45"/>
      <c r="I326" s="45"/>
      <c r="J326" s="45"/>
      <c r="K326" s="45"/>
      <c r="L326" s="45"/>
      <c r="M326" s="45"/>
      <c r="N326" s="45"/>
      <c r="O326" s="45"/>
      <c r="P326" s="45"/>
      <c r="Q326" s="45"/>
      <c r="R326" s="45"/>
      <c r="S326" s="45"/>
    </row>
    <row r="327" spans="5:19">
      <c r="E327" s="141"/>
      <c r="F327" s="141"/>
      <c r="G327" s="141"/>
      <c r="H327" s="141"/>
      <c r="I327" s="141"/>
      <c r="J327" s="141"/>
      <c r="K327" s="141"/>
      <c r="L327" s="141"/>
      <c r="M327" s="141"/>
      <c r="N327" s="141"/>
      <c r="O327" s="141"/>
      <c r="P327" s="141"/>
      <c r="Q327" s="141"/>
      <c r="R327" s="141"/>
      <c r="S327" s="45"/>
    </row>
    <row r="328" spans="5:19">
      <c r="E328" s="141"/>
      <c r="F328" s="141"/>
      <c r="G328" s="141"/>
      <c r="H328" s="141"/>
      <c r="I328" s="141"/>
      <c r="J328" s="141"/>
      <c r="K328" s="141"/>
      <c r="L328" s="141"/>
      <c r="M328" s="141"/>
      <c r="N328" s="141"/>
      <c r="O328" s="141"/>
      <c r="P328" s="141"/>
      <c r="Q328" s="141"/>
      <c r="R328" s="141"/>
      <c r="S328" s="45"/>
    </row>
    <row r="329" spans="5:19">
      <c r="S329" s="45"/>
    </row>
    <row r="330" spans="5:19">
      <c r="S330" s="45"/>
    </row>
    <row r="331" spans="5:19">
      <c r="S331" s="45"/>
    </row>
    <row r="332" spans="5:19">
      <c r="S332" s="45"/>
    </row>
    <row r="333" spans="5:19">
      <c r="S333" s="45"/>
    </row>
    <row r="334" spans="5:19">
      <c r="S334" s="45"/>
    </row>
    <row r="335" spans="5:19">
      <c r="S335" s="45"/>
    </row>
    <row r="336" spans="5:19">
      <c r="S336" s="45"/>
    </row>
    <row r="337" spans="19:19">
      <c r="S337" s="45"/>
    </row>
    <row r="338" spans="19:19">
      <c r="S338" s="45"/>
    </row>
    <row r="339" spans="19:19">
      <c r="S339" s="45"/>
    </row>
    <row r="340" spans="19:19">
      <c r="S340" s="45"/>
    </row>
    <row r="341" spans="19:19">
      <c r="S341" s="45"/>
    </row>
    <row r="342" spans="19:19">
      <c r="S342" s="45"/>
    </row>
    <row r="343" spans="19:19">
      <c r="S343" s="45"/>
    </row>
    <row r="344" spans="19:19">
      <c r="S344" s="45"/>
    </row>
    <row r="345" spans="19:19">
      <c r="S345" s="45"/>
    </row>
    <row r="346" spans="19:19">
      <c r="S346" s="45"/>
    </row>
    <row r="347" spans="19:19">
      <c r="S347" s="45"/>
    </row>
    <row r="348" spans="19:19">
      <c r="S348" s="45"/>
    </row>
    <row r="349" spans="19:19">
      <c r="S349" s="45"/>
    </row>
    <row r="350" spans="19:19">
      <c r="S350" s="45"/>
    </row>
    <row r="351" spans="19:19">
      <c r="S351" s="45"/>
    </row>
    <row r="352" spans="19:19">
      <c r="S352" s="45"/>
    </row>
    <row r="353" spans="19:19">
      <c r="S353" s="45"/>
    </row>
    <row r="354" spans="19:19">
      <c r="S354" s="45"/>
    </row>
    <row r="355" spans="19:19">
      <c r="S355" s="45"/>
    </row>
    <row r="356" spans="19:19">
      <c r="S356" s="45"/>
    </row>
    <row r="357" spans="19:19">
      <c r="S357" s="45"/>
    </row>
    <row r="358" spans="19:19">
      <c r="S358" s="45"/>
    </row>
    <row r="359" spans="19:19">
      <c r="S359" s="45"/>
    </row>
    <row r="360" spans="19:19">
      <c r="S360" s="45"/>
    </row>
    <row r="361" spans="19:19">
      <c r="S361" s="45"/>
    </row>
    <row r="362" spans="19:19">
      <c r="S362" s="45"/>
    </row>
    <row r="363" spans="19:19">
      <c r="S363" s="45"/>
    </row>
    <row r="364" spans="19:19">
      <c r="S364" s="45"/>
    </row>
    <row r="365" spans="19:19">
      <c r="S365" s="45"/>
    </row>
    <row r="366" spans="19:19">
      <c r="S366" s="45"/>
    </row>
    <row r="367" spans="19:19">
      <c r="S367" s="45"/>
    </row>
    <row r="368" spans="19:19">
      <c r="S368" s="45"/>
    </row>
    <row r="369" spans="19:19">
      <c r="S369" s="45"/>
    </row>
    <row r="370" spans="19:19">
      <c r="S370" s="45"/>
    </row>
    <row r="371" spans="19:19">
      <c r="S371" s="45"/>
    </row>
    <row r="372" spans="19:19">
      <c r="S372" s="45"/>
    </row>
    <row r="373" spans="19:19">
      <c r="S373" s="45"/>
    </row>
    <row r="374" spans="19:19">
      <c r="S374" s="45"/>
    </row>
    <row r="375" spans="19:19">
      <c r="S375" s="45"/>
    </row>
    <row r="376" spans="19:19">
      <c r="S376" s="45"/>
    </row>
    <row r="377" spans="19:19">
      <c r="S377" s="45"/>
    </row>
    <row r="378" spans="19:19">
      <c r="S378" s="45"/>
    </row>
    <row r="379" spans="19:19">
      <c r="S379" s="45"/>
    </row>
    <row r="380" spans="19:19">
      <c r="S380" s="45"/>
    </row>
    <row r="381" spans="19:19">
      <c r="S381" s="45"/>
    </row>
    <row r="382" spans="19:19">
      <c r="S382" s="45"/>
    </row>
    <row r="383" spans="19:19">
      <c r="S383" s="45"/>
    </row>
    <row r="384" spans="19:19">
      <c r="S384" s="45"/>
    </row>
    <row r="385" spans="19:19">
      <c r="S385" s="45"/>
    </row>
    <row r="386" spans="19:19">
      <c r="S386" s="45"/>
    </row>
    <row r="387" spans="19:19">
      <c r="S387" s="45"/>
    </row>
    <row r="388" spans="19:19">
      <c r="S388" s="45"/>
    </row>
    <row r="389" spans="19:19">
      <c r="S389" s="45"/>
    </row>
    <row r="390" spans="19:19">
      <c r="S390" s="45"/>
    </row>
    <row r="391" spans="19:19">
      <c r="S391" s="45"/>
    </row>
    <row r="392" spans="19:19">
      <c r="S392" s="45"/>
    </row>
    <row r="393" spans="19:19">
      <c r="S393" s="45"/>
    </row>
    <row r="394" spans="19:19">
      <c r="S394" s="45"/>
    </row>
    <row r="395" spans="19:19">
      <c r="S395" s="45"/>
    </row>
    <row r="396" spans="19:19">
      <c r="S396" s="45"/>
    </row>
    <row r="397" spans="19:19">
      <c r="S397" s="45"/>
    </row>
    <row r="398" spans="19:19">
      <c r="S398" s="45"/>
    </row>
    <row r="399" spans="19:19">
      <c r="S399" s="45"/>
    </row>
    <row r="400" spans="19:19">
      <c r="S400" s="45"/>
    </row>
    <row r="401" spans="19:19">
      <c r="S401" s="45"/>
    </row>
    <row r="402" spans="19:19">
      <c r="S402" s="45"/>
    </row>
    <row r="403" spans="19:19">
      <c r="S403" s="45"/>
    </row>
    <row r="404" spans="19:19">
      <c r="S404" s="45"/>
    </row>
    <row r="405" spans="19:19">
      <c r="S405" s="45"/>
    </row>
    <row r="406" spans="19:19">
      <c r="S406" s="45"/>
    </row>
    <row r="407" spans="19:19">
      <c r="S407" s="45"/>
    </row>
    <row r="408" spans="19:19">
      <c r="S408" s="45"/>
    </row>
    <row r="409" spans="19:19">
      <c r="S409" s="45"/>
    </row>
    <row r="410" spans="19:19">
      <c r="S410" s="45"/>
    </row>
    <row r="411" spans="19:19">
      <c r="S411" s="45"/>
    </row>
    <row r="412" spans="19:19">
      <c r="S412" s="45"/>
    </row>
    <row r="413" spans="19:19">
      <c r="S413" s="45"/>
    </row>
    <row r="414" spans="19:19">
      <c r="S414" s="45"/>
    </row>
    <row r="415" spans="19:19">
      <c r="S415" s="45"/>
    </row>
    <row r="416" spans="19:19">
      <c r="S416" s="45"/>
    </row>
    <row r="417" spans="19:19">
      <c r="S417" s="45"/>
    </row>
    <row r="418" spans="19:19">
      <c r="S418" s="45"/>
    </row>
    <row r="419" spans="19:19">
      <c r="S419" s="45"/>
    </row>
    <row r="420" spans="19:19">
      <c r="S420" s="45"/>
    </row>
    <row r="421" spans="19:19">
      <c r="S421" s="45"/>
    </row>
    <row r="422" spans="19:19">
      <c r="S422" s="45"/>
    </row>
    <row r="423" spans="19:19">
      <c r="S423" s="45"/>
    </row>
    <row r="424" spans="19:19">
      <c r="S424" s="45"/>
    </row>
    <row r="425" spans="19:19">
      <c r="S425" s="45"/>
    </row>
    <row r="426" spans="19:19">
      <c r="S426" s="45"/>
    </row>
    <row r="427" spans="19:19">
      <c r="S427" s="45"/>
    </row>
    <row r="428" spans="19:19">
      <c r="S428" s="45"/>
    </row>
  </sheetData>
  <mergeCells count="201">
    <mergeCell ref="L288:P288"/>
    <mergeCell ref="M290:P290"/>
    <mergeCell ref="L292:O292"/>
    <mergeCell ref="M294:O294"/>
    <mergeCell ref="M289:Q289"/>
    <mergeCell ref="M1:N1"/>
    <mergeCell ref="L188:P188"/>
    <mergeCell ref="M190:P190"/>
    <mergeCell ref="K192:M192"/>
    <mergeCell ref="L195:P195"/>
    <mergeCell ref="M197:P197"/>
    <mergeCell ref="N199:P199"/>
    <mergeCell ref="O96:P96"/>
    <mergeCell ref="L155:P155"/>
    <mergeCell ref="L157:P157"/>
    <mergeCell ref="L158:P158"/>
    <mergeCell ref="K160:L160"/>
    <mergeCell ref="N107:P107"/>
    <mergeCell ref="N111:P111"/>
    <mergeCell ref="N237:P237"/>
    <mergeCell ref="N202:P202"/>
    <mergeCell ref="M204:O204"/>
    <mergeCell ref="K204:L204"/>
    <mergeCell ref="K205:L205"/>
    <mergeCell ref="L116:Q116"/>
    <mergeCell ref="M144:N144"/>
    <mergeCell ref="I146:Q146"/>
    <mergeCell ref="M148:N148"/>
    <mergeCell ref="J148:K148"/>
    <mergeCell ref="L137:P137"/>
    <mergeCell ref="L139:P139"/>
    <mergeCell ref="L141:N141"/>
    <mergeCell ref="J141:K141"/>
    <mergeCell ref="I1:J1"/>
    <mergeCell ref="I2:J2"/>
    <mergeCell ref="I3:J3"/>
    <mergeCell ref="I16:L16"/>
    <mergeCell ref="M87:O87"/>
    <mergeCell ref="H85:J85"/>
    <mergeCell ref="K36:O36"/>
    <mergeCell ref="I39:P39"/>
    <mergeCell ref="M2:N2"/>
    <mergeCell ref="M3:N3"/>
    <mergeCell ref="M7:N7"/>
    <mergeCell ref="M12:N12"/>
    <mergeCell ref="M13:N13"/>
    <mergeCell ref="M14:N14"/>
    <mergeCell ref="K38:P38"/>
    <mergeCell ref="T14:V14"/>
    <mergeCell ref="I4:J4"/>
    <mergeCell ref="I22:L22"/>
    <mergeCell ref="M76:O76"/>
    <mergeCell ref="M78:P78"/>
    <mergeCell ref="M79:P79"/>
    <mergeCell ref="H64:P64"/>
    <mergeCell ref="H65:P65"/>
    <mergeCell ref="J66:N66"/>
    <mergeCell ref="J59:P59"/>
    <mergeCell ref="M4:N4"/>
    <mergeCell ref="I24:L24"/>
    <mergeCell ref="B44:C44"/>
    <mergeCell ref="C48:O48"/>
    <mergeCell ref="L45:M45"/>
    <mergeCell ref="J41:L41"/>
    <mergeCell ref="H41:I41"/>
    <mergeCell ref="J43:L43"/>
    <mergeCell ref="H43:I43"/>
    <mergeCell ref="C43:G43"/>
    <mergeCell ref="I5:J5"/>
    <mergeCell ref="I9:J9"/>
    <mergeCell ref="I10:J10"/>
    <mergeCell ref="D37:E37"/>
    <mergeCell ref="K34:O34"/>
    <mergeCell ref="A17:F17"/>
    <mergeCell ref="I6:J6"/>
    <mergeCell ref="I23:L23"/>
    <mergeCell ref="M5:N5"/>
    <mergeCell ref="M6:N6"/>
    <mergeCell ref="M9:N9"/>
    <mergeCell ref="M10:N10"/>
    <mergeCell ref="E38:F38"/>
    <mergeCell ref="F41:G41"/>
    <mergeCell ref="D61:E61"/>
    <mergeCell ref="D63:E63"/>
    <mergeCell ref="J63:P63"/>
    <mergeCell ref="N55:P55"/>
    <mergeCell ref="K55:M55"/>
    <mergeCell ref="G56:P56"/>
    <mergeCell ref="F58:G58"/>
    <mergeCell ref="D56:E56"/>
    <mergeCell ref="D58:E58"/>
    <mergeCell ref="I58:Q58"/>
    <mergeCell ref="Q98:R98"/>
    <mergeCell ref="N104:P104"/>
    <mergeCell ref="N106:P106"/>
    <mergeCell ref="H86:J86"/>
    <mergeCell ref="M89:P89"/>
    <mergeCell ref="M90:P90"/>
    <mergeCell ref="I12:J12"/>
    <mergeCell ref="I13:J13"/>
    <mergeCell ref="I14:J14"/>
    <mergeCell ref="I15:J15"/>
    <mergeCell ref="M83:P83"/>
    <mergeCell ref="M72:P72"/>
    <mergeCell ref="K78:L78"/>
    <mergeCell ref="K79:L79"/>
    <mergeCell ref="M74:Q74"/>
    <mergeCell ref="M84:P84"/>
    <mergeCell ref="K85:O85"/>
    <mergeCell ref="M91:P91"/>
    <mergeCell ref="F93:R93"/>
    <mergeCell ref="F94:R94"/>
    <mergeCell ref="J84:L84"/>
    <mergeCell ref="L88:O88"/>
    <mergeCell ref="F68:G68"/>
    <mergeCell ref="I25:L25"/>
    <mergeCell ref="L251:P251"/>
    <mergeCell ref="L253:N253"/>
    <mergeCell ref="M255:N255"/>
    <mergeCell ref="M256:N256"/>
    <mergeCell ref="I258:Q258"/>
    <mergeCell ref="K167:P167"/>
    <mergeCell ref="L174:P174"/>
    <mergeCell ref="L179:P179"/>
    <mergeCell ref="M181:P181"/>
    <mergeCell ref="L183:O183"/>
    <mergeCell ref="O168:P168"/>
    <mergeCell ref="O169:P169"/>
    <mergeCell ref="L171:P171"/>
    <mergeCell ref="M205:O205"/>
    <mergeCell ref="N208:P208"/>
    <mergeCell ref="O210:P210"/>
    <mergeCell ref="N212:P212"/>
    <mergeCell ref="M185:O185"/>
    <mergeCell ref="N239:P239"/>
    <mergeCell ref="N240:P240"/>
    <mergeCell ref="O234:P234"/>
    <mergeCell ref="L152:P152"/>
    <mergeCell ref="M143:N143"/>
    <mergeCell ref="H225:J225"/>
    <mergeCell ref="K225:O225"/>
    <mergeCell ref="H226:J226"/>
    <mergeCell ref="M227:O227"/>
    <mergeCell ref="L228:O228"/>
    <mergeCell ref="M229:P229"/>
    <mergeCell ref="M230:P230"/>
    <mergeCell ref="N215:P215"/>
    <mergeCell ref="M160:P160"/>
    <mergeCell ref="M163:P163"/>
    <mergeCell ref="N159:P159"/>
    <mergeCell ref="K165:P165"/>
    <mergeCell ref="L161:P161"/>
    <mergeCell ref="L162:P162"/>
    <mergeCell ref="M272:P272"/>
    <mergeCell ref="K274:P274"/>
    <mergeCell ref="K276:P276"/>
    <mergeCell ref="O277:P277"/>
    <mergeCell ref="O278:P278"/>
    <mergeCell ref="J260:K260"/>
    <mergeCell ref="M260:N260"/>
    <mergeCell ref="J253:K253"/>
    <mergeCell ref="L216:P216"/>
    <mergeCell ref="N218:P218"/>
    <mergeCell ref="L219:P219"/>
    <mergeCell ref="L220:P220"/>
    <mergeCell ref="M223:P223"/>
    <mergeCell ref="J224:L224"/>
    <mergeCell ref="M224:P224"/>
    <mergeCell ref="M231:P231"/>
    <mergeCell ref="L261:P261"/>
    <mergeCell ref="L264:P264"/>
    <mergeCell ref="L266:P266"/>
    <mergeCell ref="L267:P267"/>
    <mergeCell ref="N268:P268"/>
    <mergeCell ref="N243:P243"/>
    <mergeCell ref="L245:Q245"/>
    <mergeCell ref="L248:P248"/>
    <mergeCell ref="K315:L315"/>
    <mergeCell ref="M315:O315"/>
    <mergeCell ref="N318:P318"/>
    <mergeCell ref="O320:P320"/>
    <mergeCell ref="N322:P322"/>
    <mergeCell ref="I11:J11"/>
    <mergeCell ref="I7:J7"/>
    <mergeCell ref="L298:P298"/>
    <mergeCell ref="M300:P300"/>
    <mergeCell ref="K302:M302"/>
    <mergeCell ref="I26:L26"/>
    <mergeCell ref="L305:P305"/>
    <mergeCell ref="M307:P307"/>
    <mergeCell ref="N309:P309"/>
    <mergeCell ref="N312:P312"/>
    <mergeCell ref="K314:L314"/>
    <mergeCell ref="M314:O314"/>
    <mergeCell ref="L280:P280"/>
    <mergeCell ref="L283:P283"/>
    <mergeCell ref="M11:N11"/>
    <mergeCell ref="K269:L269"/>
    <mergeCell ref="M269:P269"/>
    <mergeCell ref="L270:P270"/>
    <mergeCell ref="L271:P2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U119"/>
  <sheetViews>
    <sheetView topLeftCell="F26" workbookViewId="0">
      <selection activeCell="W44" sqref="W44"/>
    </sheetView>
  </sheetViews>
  <sheetFormatPr defaultRowHeight="15.75"/>
  <sheetData>
    <row r="1" spans="1:21">
      <c r="A1">
        <v>0</v>
      </c>
      <c r="B1">
        <v>1</v>
      </c>
      <c r="C1">
        <v>2</v>
      </c>
      <c r="D1">
        <v>4</v>
      </c>
      <c r="E1">
        <v>6</v>
      </c>
      <c r="F1">
        <v>8</v>
      </c>
      <c r="G1">
        <v>10</v>
      </c>
      <c r="H1">
        <v>12</v>
      </c>
    </row>
    <row r="2" spans="1:21">
      <c r="A2">
        <v>0</v>
      </c>
      <c r="B2">
        <v>0.8</v>
      </c>
      <c r="C2">
        <v>1.05</v>
      </c>
      <c r="D2">
        <v>1</v>
      </c>
      <c r="E2">
        <v>0.95</v>
      </c>
      <c r="F2">
        <v>0.92</v>
      </c>
      <c r="G2">
        <v>0.93</v>
      </c>
      <c r="H2">
        <v>1</v>
      </c>
      <c r="J2">
        <v>0</v>
      </c>
      <c r="K2">
        <v>0.5</v>
      </c>
      <c r="L2">
        <v>1</v>
      </c>
      <c r="M2">
        <v>2</v>
      </c>
      <c r="N2">
        <v>3</v>
      </c>
      <c r="O2">
        <v>4</v>
      </c>
      <c r="P2">
        <v>5</v>
      </c>
      <c r="Q2">
        <v>6</v>
      </c>
      <c r="R2">
        <v>7</v>
      </c>
      <c r="S2">
        <v>8</v>
      </c>
      <c r="T2">
        <v>9</v>
      </c>
      <c r="U2">
        <v>10</v>
      </c>
    </row>
    <row r="3" spans="1:21">
      <c r="J3">
        <v>0.5</v>
      </c>
      <c r="K3">
        <v>0.7</v>
      </c>
      <c r="L3">
        <v>0.81</v>
      </c>
      <c r="M3">
        <v>0.9</v>
      </c>
      <c r="N3">
        <v>0.92</v>
      </c>
      <c r="O3">
        <v>0.94</v>
      </c>
      <c r="P3">
        <v>0.95</v>
      </c>
      <c r="Q3">
        <v>0.95499999999999996</v>
      </c>
      <c r="R3">
        <v>0.96</v>
      </c>
      <c r="S3">
        <v>0.96499999999999997</v>
      </c>
      <c r="T3">
        <v>0.97</v>
      </c>
      <c r="U3">
        <v>0.97499999999999998</v>
      </c>
    </row>
    <row r="24" spans="1:21" ht="18.75">
      <c r="E24" s="102" t="s">
        <v>176</v>
      </c>
      <c r="Q24" s="102" t="s">
        <v>177</v>
      </c>
    </row>
    <row r="25" spans="1:21">
      <c r="A25" s="94"/>
      <c r="B25" s="94"/>
      <c r="C25" s="94"/>
      <c r="D25" s="94"/>
      <c r="E25" s="94"/>
      <c r="F25" s="94"/>
      <c r="G25" s="94"/>
      <c r="H25" s="94"/>
      <c r="I25" s="94"/>
      <c r="J25" s="94"/>
      <c r="K25" s="94"/>
      <c r="L25" s="94"/>
      <c r="M25" s="94"/>
      <c r="N25" s="94"/>
      <c r="O25" s="94"/>
      <c r="P25" s="94"/>
      <c r="Q25" s="94"/>
      <c r="R25" s="94"/>
      <c r="S25" s="94"/>
      <c r="T25" s="94"/>
      <c r="U25" s="94"/>
    </row>
    <row r="27" spans="1:21">
      <c r="A27">
        <v>0</v>
      </c>
      <c r="B27">
        <v>10</v>
      </c>
      <c r="C27">
        <v>20</v>
      </c>
      <c r="D27">
        <v>30</v>
      </c>
      <c r="E27">
        <v>40</v>
      </c>
      <c r="F27">
        <v>50</v>
      </c>
      <c r="I27">
        <v>0</v>
      </c>
      <c r="J27">
        <v>10</v>
      </c>
      <c r="K27">
        <v>20</v>
      </c>
      <c r="L27">
        <v>30</v>
      </c>
      <c r="M27">
        <v>40</v>
      </c>
      <c r="N27">
        <v>50</v>
      </c>
    </row>
    <row r="28" spans="1:21">
      <c r="A28">
        <v>400</v>
      </c>
      <c r="B28">
        <v>480</v>
      </c>
      <c r="C28">
        <v>510</v>
      </c>
      <c r="D28">
        <v>540</v>
      </c>
      <c r="E28">
        <v>560</v>
      </c>
      <c r="F28">
        <v>565</v>
      </c>
      <c r="I28">
        <v>200</v>
      </c>
      <c r="J28">
        <v>250</v>
      </c>
      <c r="K28">
        <v>270</v>
      </c>
      <c r="L28">
        <v>290</v>
      </c>
      <c r="M28">
        <v>300</v>
      </c>
      <c r="N28">
        <v>305</v>
      </c>
    </row>
    <row r="29" spans="1:21">
      <c r="A29">
        <v>600</v>
      </c>
      <c r="B29">
        <v>680</v>
      </c>
      <c r="C29">
        <v>710</v>
      </c>
      <c r="D29">
        <v>740</v>
      </c>
      <c r="E29">
        <v>760</v>
      </c>
      <c r="F29">
        <v>765</v>
      </c>
      <c r="I29">
        <v>300</v>
      </c>
      <c r="J29">
        <v>350</v>
      </c>
      <c r="K29">
        <v>370</v>
      </c>
      <c r="L29">
        <v>400</v>
      </c>
      <c r="M29">
        <v>420</v>
      </c>
      <c r="N29">
        <v>430</v>
      </c>
    </row>
    <row r="30" spans="1:21">
      <c r="A30">
        <v>800</v>
      </c>
      <c r="B30">
        <v>880</v>
      </c>
      <c r="C30">
        <v>915</v>
      </c>
      <c r="D30">
        <v>950</v>
      </c>
      <c r="E30">
        <v>960</v>
      </c>
      <c r="F30">
        <v>955</v>
      </c>
      <c r="I30">
        <v>400</v>
      </c>
      <c r="J30">
        <v>450</v>
      </c>
      <c r="K30">
        <v>480</v>
      </c>
      <c r="L30">
        <v>510</v>
      </c>
      <c r="M30">
        <v>530</v>
      </c>
      <c r="N30">
        <v>540</v>
      </c>
    </row>
    <row r="31" spans="1:21">
      <c r="A31">
        <v>1000</v>
      </c>
      <c r="B31">
        <v>1100</v>
      </c>
      <c r="C31">
        <v>1200</v>
      </c>
      <c r="D31">
        <v>1245</v>
      </c>
      <c r="E31">
        <v>1285</v>
      </c>
      <c r="F31">
        <v>1300</v>
      </c>
      <c r="I31">
        <v>500</v>
      </c>
      <c r="J31">
        <v>575</v>
      </c>
      <c r="K31">
        <v>640</v>
      </c>
      <c r="L31">
        <v>680</v>
      </c>
      <c r="M31">
        <v>720</v>
      </c>
      <c r="N31">
        <v>750</v>
      </c>
    </row>
    <row r="32" spans="1:21">
      <c r="A32">
        <v>1200</v>
      </c>
      <c r="B32">
        <v>1300</v>
      </c>
      <c r="C32">
        <v>1400</v>
      </c>
      <c r="D32">
        <v>1470</v>
      </c>
      <c r="E32">
        <v>1500</v>
      </c>
      <c r="F32">
        <v>1515</v>
      </c>
      <c r="I32">
        <v>600</v>
      </c>
      <c r="J32">
        <v>700</v>
      </c>
      <c r="K32">
        <v>750</v>
      </c>
      <c r="L32">
        <v>800</v>
      </c>
      <c r="M32">
        <v>840</v>
      </c>
      <c r="N32">
        <v>855</v>
      </c>
    </row>
    <row r="33" spans="1:14">
      <c r="A33">
        <v>1400</v>
      </c>
      <c r="B33">
        <v>1500</v>
      </c>
      <c r="C33">
        <v>1600</v>
      </c>
      <c r="D33">
        <v>1680</v>
      </c>
      <c r="E33">
        <v>1700</v>
      </c>
      <c r="F33">
        <v>1695</v>
      </c>
      <c r="I33">
        <v>700</v>
      </c>
      <c r="J33">
        <v>780</v>
      </c>
      <c r="K33">
        <v>840</v>
      </c>
      <c r="L33">
        <v>875</v>
      </c>
      <c r="M33">
        <v>905</v>
      </c>
      <c r="N33">
        <v>935</v>
      </c>
    </row>
    <row r="34" spans="1:14">
      <c r="A34">
        <v>1600</v>
      </c>
      <c r="B34">
        <v>1700</v>
      </c>
      <c r="C34">
        <v>1790</v>
      </c>
      <c r="D34">
        <v>1850</v>
      </c>
      <c r="E34">
        <v>1900</v>
      </c>
      <c r="F34">
        <v>1900</v>
      </c>
      <c r="I34">
        <v>800</v>
      </c>
      <c r="J34">
        <v>880</v>
      </c>
      <c r="K34">
        <v>940</v>
      </c>
      <c r="L34">
        <v>975</v>
      </c>
      <c r="M34">
        <v>1010</v>
      </c>
      <c r="N34">
        <v>1045</v>
      </c>
    </row>
    <row r="35" spans="1:14">
      <c r="A35">
        <v>1800</v>
      </c>
      <c r="B35">
        <v>1910</v>
      </c>
      <c r="C35">
        <v>2000</v>
      </c>
      <c r="D35">
        <v>2070</v>
      </c>
      <c r="E35">
        <v>2105</v>
      </c>
      <c r="F35">
        <v>2120</v>
      </c>
      <c r="I35">
        <v>900</v>
      </c>
      <c r="J35">
        <v>980</v>
      </c>
      <c r="K35">
        <v>1050</v>
      </c>
      <c r="L35">
        <v>1100</v>
      </c>
      <c r="M35">
        <v>1140</v>
      </c>
      <c r="N35">
        <v>1160</v>
      </c>
    </row>
    <row r="36" spans="1:14">
      <c r="A36">
        <v>2000</v>
      </c>
      <c r="B36">
        <v>2100</v>
      </c>
      <c r="C36">
        <v>2180</v>
      </c>
      <c r="D36">
        <v>2240</v>
      </c>
      <c r="E36">
        <v>2285</v>
      </c>
      <c r="F36">
        <v>2300</v>
      </c>
      <c r="I36">
        <v>1000</v>
      </c>
      <c r="J36">
        <v>1080</v>
      </c>
      <c r="K36">
        <v>1140</v>
      </c>
      <c r="L36">
        <v>1200</v>
      </c>
      <c r="M36">
        <v>1240</v>
      </c>
      <c r="N36">
        <v>1260</v>
      </c>
    </row>
    <row r="37" spans="1:14">
      <c r="I37">
        <v>100</v>
      </c>
      <c r="J37">
        <v>140</v>
      </c>
      <c r="K37">
        <v>170</v>
      </c>
      <c r="L37">
        <v>185</v>
      </c>
      <c r="M37">
        <v>200</v>
      </c>
      <c r="N37">
        <v>210</v>
      </c>
    </row>
    <row r="55" spans="2:18" ht="18.75">
      <c r="K55" s="103" t="s">
        <v>178</v>
      </c>
    </row>
    <row r="56" spans="2:18">
      <c r="B56" s="94"/>
      <c r="C56" s="94"/>
      <c r="D56" s="94"/>
      <c r="E56" s="94"/>
      <c r="F56" s="94"/>
      <c r="G56" s="94"/>
      <c r="H56" s="94"/>
      <c r="I56" s="94"/>
      <c r="J56" s="94"/>
      <c r="K56" s="94"/>
      <c r="L56" s="94"/>
      <c r="M56" s="94"/>
      <c r="N56" s="94"/>
      <c r="O56" s="94"/>
      <c r="P56" s="94"/>
    </row>
    <row r="57" spans="2:18" ht="16.5" thickBot="1">
      <c r="N57" s="565" t="s">
        <v>180</v>
      </c>
      <c r="O57" s="565"/>
    </row>
    <row r="58" spans="2:18" ht="21" thickBot="1">
      <c r="B58" s="104" t="s">
        <v>11</v>
      </c>
      <c r="C58" s="419" t="s">
        <v>14</v>
      </c>
      <c r="D58" s="420"/>
      <c r="E58" s="420"/>
      <c r="F58" s="421"/>
      <c r="J58" s="531" t="s">
        <v>63</v>
      </c>
      <c r="K58" s="531"/>
      <c r="L58" s="531"/>
      <c r="M58" s="531"/>
      <c r="N58" s="531"/>
      <c r="O58" s="531"/>
      <c r="P58" s="531"/>
      <c r="Q58" s="531"/>
      <c r="R58" s="531"/>
    </row>
    <row r="59" spans="2:18" ht="16.5" thickBot="1">
      <c r="B59" s="105">
        <v>1.25</v>
      </c>
      <c r="C59" s="568" t="s">
        <v>189</v>
      </c>
      <c r="D59" s="569"/>
      <c r="E59" s="569"/>
      <c r="F59" s="570"/>
      <c r="J59" s="36"/>
      <c r="K59" s="36"/>
      <c r="L59" s="531" t="s">
        <v>64</v>
      </c>
      <c r="M59" s="531"/>
      <c r="N59" s="531"/>
      <c r="O59" s="531"/>
      <c r="P59" s="531"/>
      <c r="Q59" s="36"/>
      <c r="R59" s="36"/>
    </row>
    <row r="60" spans="2:18" ht="16.5" thickBot="1">
      <c r="B60" s="110">
        <v>1.5</v>
      </c>
      <c r="C60" s="571" t="s">
        <v>190</v>
      </c>
      <c r="D60" s="572"/>
      <c r="E60" s="572"/>
      <c r="F60" s="573"/>
      <c r="J60" s="36"/>
      <c r="K60" s="36"/>
      <c r="L60" s="343" t="s">
        <v>74</v>
      </c>
      <c r="M60" s="343" t="s">
        <v>66</v>
      </c>
      <c r="N60" s="343" t="s">
        <v>67</v>
      </c>
      <c r="O60" s="40" t="s">
        <v>68</v>
      </c>
      <c r="P60" s="36"/>
      <c r="Q60" s="36"/>
      <c r="R60" s="36"/>
    </row>
    <row r="61" spans="2:18" ht="20.25">
      <c r="B61" s="113" t="s">
        <v>191</v>
      </c>
      <c r="J61" s="36"/>
      <c r="K61" s="36"/>
      <c r="L61" s="38" t="s">
        <v>73</v>
      </c>
      <c r="M61" s="343" t="s">
        <v>69</v>
      </c>
      <c r="N61" s="343" t="s">
        <v>70</v>
      </c>
      <c r="O61" s="40" t="s">
        <v>71</v>
      </c>
      <c r="P61" s="36"/>
      <c r="Q61" s="36"/>
      <c r="R61" s="36"/>
    </row>
    <row r="62" spans="2:18">
      <c r="J62" s="36"/>
      <c r="K62" s="36"/>
      <c r="L62" s="36"/>
      <c r="M62" s="36"/>
      <c r="N62" s="36"/>
      <c r="O62" s="40" t="s">
        <v>72</v>
      </c>
      <c r="P62" s="36"/>
      <c r="Q62" s="36"/>
      <c r="R62" s="36"/>
    </row>
    <row r="63" spans="2:18">
      <c r="J63" s="111" t="s">
        <v>192</v>
      </c>
      <c r="K63" s="112"/>
      <c r="M63" s="113" t="s">
        <v>193</v>
      </c>
      <c r="N63" s="112"/>
    </row>
    <row r="64" spans="2:18">
      <c r="C64" s="565" t="s">
        <v>181</v>
      </c>
      <c r="D64" s="565"/>
    </row>
    <row r="65" spans="1:7">
      <c r="A65" s="566" t="s">
        <v>182</v>
      </c>
      <c r="B65" s="566"/>
      <c r="C65" s="109" t="s">
        <v>184</v>
      </c>
      <c r="D65" s="109" t="s">
        <v>185</v>
      </c>
      <c r="E65" s="109" t="s">
        <v>186</v>
      </c>
      <c r="F65" s="109" t="s">
        <v>187</v>
      </c>
      <c r="G65" s="109" t="s">
        <v>188</v>
      </c>
    </row>
    <row r="66" spans="1:7">
      <c r="A66" s="567" t="s">
        <v>183</v>
      </c>
      <c r="B66" s="567"/>
      <c r="C66" s="41">
        <v>1.53</v>
      </c>
      <c r="D66" s="41">
        <v>1.34</v>
      </c>
      <c r="E66" s="41">
        <v>1.26</v>
      </c>
      <c r="F66" s="41">
        <v>1.23</v>
      </c>
      <c r="G66" s="41">
        <v>1.05</v>
      </c>
    </row>
    <row r="67" spans="1:7">
      <c r="A67" s="111" t="s">
        <v>194</v>
      </c>
      <c r="B67" s="114"/>
    </row>
    <row r="94" spans="5:5">
      <c r="E94" s="378"/>
    </row>
    <row r="99" spans="2:18" ht="16.5" thickBot="1"/>
    <row r="100" spans="2:18" ht="16.5" thickBot="1">
      <c r="B100" s="379"/>
      <c r="C100" s="380"/>
      <c r="D100" s="380"/>
      <c r="E100" s="380"/>
      <c r="F100" s="380"/>
      <c r="G100" s="380"/>
      <c r="H100" s="428" t="s">
        <v>587</v>
      </c>
      <c r="I100" s="429"/>
      <c r="J100" s="429"/>
      <c r="K100" s="429"/>
      <c r="L100" s="430"/>
      <c r="M100" s="380"/>
      <c r="N100" s="380"/>
      <c r="O100" s="380"/>
      <c r="P100" s="380"/>
      <c r="Q100" s="380"/>
      <c r="R100" s="384"/>
    </row>
    <row r="101" spans="2:18">
      <c r="B101" s="381"/>
      <c r="C101" s="382"/>
      <c r="D101" s="382"/>
      <c r="E101" s="382"/>
      <c r="F101" s="382"/>
      <c r="G101" s="382"/>
      <c r="H101" s="382"/>
      <c r="I101" s="382"/>
      <c r="J101" s="382"/>
      <c r="K101" s="382"/>
      <c r="L101" s="382"/>
      <c r="M101" s="382"/>
      <c r="N101" s="382"/>
      <c r="O101" s="382"/>
      <c r="P101" s="382"/>
      <c r="Q101" s="382"/>
      <c r="R101" s="383"/>
    </row>
    <row r="102" spans="2:18" ht="18.75">
      <c r="B102" s="381"/>
      <c r="C102" s="549" t="s">
        <v>588</v>
      </c>
      <c r="D102" s="550"/>
      <c r="E102" s="550"/>
      <c r="F102" s="550"/>
      <c r="G102" s="550"/>
      <c r="H102" s="551"/>
      <c r="I102" s="558" t="s">
        <v>589</v>
      </c>
      <c r="J102" s="558"/>
      <c r="K102" s="558"/>
      <c r="L102" s="558"/>
      <c r="M102" s="558"/>
      <c r="N102" s="558"/>
      <c r="O102" s="558"/>
      <c r="P102" s="558"/>
      <c r="Q102" s="558"/>
      <c r="R102" s="383"/>
    </row>
    <row r="103" spans="2:18">
      <c r="B103" s="381"/>
      <c r="C103" s="552"/>
      <c r="D103" s="553"/>
      <c r="E103" s="553"/>
      <c r="F103" s="553"/>
      <c r="G103" s="553"/>
      <c r="H103" s="554"/>
      <c r="I103" s="564">
        <v>0.25</v>
      </c>
      <c r="J103" s="390"/>
      <c r="K103" s="564">
        <v>0.5</v>
      </c>
      <c r="L103" s="390"/>
      <c r="M103" s="564">
        <v>0.75</v>
      </c>
      <c r="N103" s="390"/>
      <c r="O103" s="564">
        <v>1</v>
      </c>
      <c r="P103" s="390"/>
      <c r="Q103" s="564">
        <v>1</v>
      </c>
      <c r="R103" s="383"/>
    </row>
    <row r="104" spans="2:18">
      <c r="B104" s="381"/>
      <c r="C104" s="555"/>
      <c r="D104" s="556"/>
      <c r="E104" s="556"/>
      <c r="F104" s="556"/>
      <c r="G104" s="556"/>
      <c r="H104" s="557"/>
      <c r="I104" s="564"/>
      <c r="J104" s="390"/>
      <c r="K104" s="564"/>
      <c r="L104" s="390"/>
      <c r="M104" s="564"/>
      <c r="N104" s="390"/>
      <c r="O104" s="564"/>
      <c r="P104" s="390"/>
      <c r="Q104" s="564"/>
      <c r="R104" s="383"/>
    </row>
    <row r="105" spans="2:18" ht="18.75">
      <c r="B105" s="376" t="s">
        <v>586</v>
      </c>
      <c r="C105" s="377">
        <v>1</v>
      </c>
      <c r="D105" s="203"/>
      <c r="E105" s="377">
        <v>1.1000000000000001</v>
      </c>
      <c r="F105" s="203"/>
      <c r="G105" s="377">
        <v>1.3</v>
      </c>
      <c r="H105" s="203"/>
      <c r="I105" s="377">
        <v>1.35</v>
      </c>
      <c r="J105" s="246"/>
      <c r="K105" s="377">
        <v>1.4</v>
      </c>
      <c r="L105" s="246"/>
      <c r="M105" s="377">
        <v>1.45</v>
      </c>
      <c r="N105" s="246"/>
      <c r="O105" s="377">
        <v>1.5</v>
      </c>
      <c r="P105" s="246"/>
      <c r="Q105" s="377">
        <v>1.65</v>
      </c>
      <c r="R105" s="383"/>
    </row>
    <row r="106" spans="2:18">
      <c r="B106" s="381"/>
      <c r="C106" s="382"/>
      <c r="D106" s="382"/>
      <c r="E106" s="382"/>
      <c r="F106" s="382"/>
      <c r="G106" s="382"/>
      <c r="H106" s="382"/>
      <c r="I106" s="382"/>
      <c r="J106" s="382"/>
      <c r="K106" s="382"/>
      <c r="L106" s="382"/>
      <c r="M106" s="382"/>
      <c r="N106" s="382"/>
      <c r="O106" s="382"/>
      <c r="P106" s="382"/>
      <c r="Q106" s="382"/>
      <c r="R106" s="383"/>
    </row>
    <row r="107" spans="2:18">
      <c r="B107" s="381"/>
      <c r="C107" s="375"/>
      <c r="D107" s="382"/>
      <c r="E107" s="382"/>
      <c r="F107" s="382"/>
      <c r="G107" s="382"/>
      <c r="H107" s="382"/>
      <c r="I107" s="382"/>
      <c r="J107" s="382"/>
      <c r="K107" s="382"/>
      <c r="L107" s="382"/>
      <c r="M107" s="382"/>
      <c r="N107" s="382"/>
      <c r="O107" s="382"/>
      <c r="P107" s="382"/>
      <c r="Q107" s="382"/>
      <c r="R107" s="383"/>
    </row>
    <row r="108" spans="2:18" ht="16.5" thickBot="1">
      <c r="B108" s="381"/>
      <c r="C108" s="375"/>
      <c r="D108" s="382"/>
      <c r="E108" s="375"/>
      <c r="F108" s="382"/>
      <c r="G108" s="382"/>
      <c r="H108" s="382"/>
      <c r="I108" s="382"/>
      <c r="J108" s="382"/>
      <c r="K108" s="382"/>
      <c r="L108" s="382"/>
      <c r="M108" s="382"/>
      <c r="N108" s="382"/>
      <c r="O108" s="382"/>
      <c r="P108" s="382"/>
      <c r="Q108" s="382"/>
      <c r="R108" s="383"/>
    </row>
    <row r="109" spans="2:18" ht="16.5" thickTop="1">
      <c r="B109" s="381"/>
      <c r="C109" s="374"/>
      <c r="D109" s="387"/>
      <c r="E109" s="374"/>
      <c r="F109" s="387"/>
      <c r="G109" s="374"/>
      <c r="H109" s="387"/>
      <c r="I109" s="57"/>
      <c r="J109" s="387"/>
      <c r="K109" s="559"/>
      <c r="L109" s="387"/>
      <c r="M109" s="418"/>
      <c r="N109" s="387"/>
      <c r="O109" s="559"/>
      <c r="P109" s="387"/>
      <c r="Q109" s="561"/>
      <c r="R109" s="388"/>
    </row>
    <row r="110" spans="2:18">
      <c r="B110" s="381"/>
      <c r="C110" s="347" t="s">
        <v>585</v>
      </c>
      <c r="D110" s="382"/>
      <c r="E110" s="375"/>
      <c r="F110" s="382"/>
      <c r="G110" s="375"/>
      <c r="H110" s="382"/>
      <c r="I110" s="375"/>
      <c r="J110" s="382"/>
      <c r="K110" s="439"/>
      <c r="L110" s="382"/>
      <c r="M110" s="418"/>
      <c r="N110" s="382"/>
      <c r="O110" s="560"/>
      <c r="P110" s="382"/>
      <c r="Q110" s="562"/>
      <c r="R110" s="383"/>
    </row>
    <row r="111" spans="2:18">
      <c r="B111" s="381"/>
      <c r="C111" s="382"/>
      <c r="D111" s="382"/>
      <c r="E111" s="347" t="s">
        <v>585</v>
      </c>
      <c r="F111" s="382"/>
      <c r="G111" s="375"/>
      <c r="H111" s="382"/>
      <c r="I111" s="375"/>
      <c r="J111" s="382"/>
      <c r="K111" s="375"/>
      <c r="L111" s="382"/>
      <c r="M111" s="418"/>
      <c r="N111" s="382"/>
      <c r="O111" s="560"/>
      <c r="P111" s="382"/>
      <c r="Q111" s="562"/>
      <c r="R111" s="383"/>
    </row>
    <row r="112" spans="2:18">
      <c r="B112" s="381"/>
      <c r="C112" s="382"/>
      <c r="D112" s="382"/>
      <c r="E112" s="382"/>
      <c r="F112" s="382"/>
      <c r="G112" s="347" t="s">
        <v>585</v>
      </c>
      <c r="H112" s="382"/>
      <c r="I112" s="375"/>
      <c r="J112" s="382"/>
      <c r="K112" s="375"/>
      <c r="L112" s="382"/>
      <c r="M112" s="418"/>
      <c r="N112" s="382"/>
      <c r="O112" s="560"/>
      <c r="P112" s="382"/>
      <c r="Q112" s="562"/>
      <c r="R112" s="383"/>
    </row>
    <row r="113" spans="2:18">
      <c r="B113" s="381"/>
      <c r="C113" s="382"/>
      <c r="D113" s="382"/>
      <c r="E113" s="382"/>
      <c r="F113" s="382"/>
      <c r="G113" s="382"/>
      <c r="H113" s="382"/>
      <c r="I113" s="347" t="s">
        <v>585</v>
      </c>
      <c r="J113" s="382"/>
      <c r="K113" s="375"/>
      <c r="L113" s="382"/>
      <c r="M113" s="375"/>
      <c r="N113" s="382"/>
      <c r="O113" s="560"/>
      <c r="P113" s="382"/>
      <c r="Q113" s="562"/>
      <c r="R113" s="383"/>
    </row>
    <row r="114" spans="2:18">
      <c r="B114" s="381"/>
      <c r="C114" s="382"/>
      <c r="D114" s="382"/>
      <c r="E114" s="382"/>
      <c r="F114" s="382"/>
      <c r="G114" s="382"/>
      <c r="H114" s="382"/>
      <c r="I114" s="382"/>
      <c r="J114" s="382"/>
      <c r="K114" s="347" t="s">
        <v>585</v>
      </c>
      <c r="L114" s="382"/>
      <c r="M114" s="375"/>
      <c r="N114" s="382"/>
      <c r="O114" s="560"/>
      <c r="P114" s="382"/>
      <c r="Q114" s="562"/>
      <c r="R114" s="383"/>
    </row>
    <row r="115" spans="2:18">
      <c r="B115" s="381"/>
      <c r="C115" s="382"/>
      <c r="D115" s="382"/>
      <c r="E115" s="382"/>
      <c r="F115" s="382"/>
      <c r="G115" s="382"/>
      <c r="H115" s="382"/>
      <c r="I115" s="382"/>
      <c r="J115" s="382"/>
      <c r="K115" s="382"/>
      <c r="L115" s="382"/>
      <c r="M115" s="375"/>
      <c r="N115" s="382"/>
      <c r="O115" s="439"/>
      <c r="P115" s="382"/>
      <c r="Q115" s="563"/>
      <c r="R115" s="383"/>
    </row>
    <row r="116" spans="2:18">
      <c r="B116" s="381"/>
      <c r="C116" s="382"/>
      <c r="D116" s="382"/>
      <c r="E116" s="382"/>
      <c r="F116" s="382"/>
      <c r="G116" s="382"/>
      <c r="H116" s="382"/>
      <c r="I116" s="382"/>
      <c r="J116" s="382"/>
      <c r="K116" s="382"/>
      <c r="L116" s="382"/>
      <c r="M116" s="347" t="s">
        <v>585</v>
      </c>
      <c r="N116" s="382"/>
      <c r="O116" s="375"/>
      <c r="P116" s="382"/>
      <c r="Q116" s="375"/>
      <c r="R116" s="383"/>
    </row>
    <row r="117" spans="2:18">
      <c r="B117" s="381"/>
      <c r="C117" s="382"/>
      <c r="D117" s="382"/>
      <c r="E117" s="382"/>
      <c r="F117" s="382"/>
      <c r="G117" s="382"/>
      <c r="H117" s="382"/>
      <c r="I117" s="382"/>
      <c r="J117" s="382"/>
      <c r="K117" s="382"/>
      <c r="L117" s="382"/>
      <c r="M117" s="382"/>
      <c r="N117" s="382"/>
      <c r="O117" s="375"/>
      <c r="P117" s="382"/>
      <c r="Q117" s="375"/>
      <c r="R117" s="383"/>
    </row>
    <row r="118" spans="2:18">
      <c r="B118" s="381"/>
      <c r="C118" s="382"/>
      <c r="D118" s="382"/>
      <c r="E118" s="382"/>
      <c r="F118" s="382"/>
      <c r="G118" s="382"/>
      <c r="H118" s="382"/>
      <c r="I118" s="382"/>
      <c r="J118" s="382"/>
      <c r="K118" s="382"/>
      <c r="L118" s="382"/>
      <c r="M118" s="382"/>
      <c r="N118" s="382"/>
      <c r="O118" s="375"/>
      <c r="P118" s="382"/>
      <c r="Q118" s="375"/>
      <c r="R118" s="383"/>
    </row>
    <row r="119" spans="2:18" ht="16.5" thickBot="1">
      <c r="B119" s="385"/>
      <c r="C119" s="386"/>
      <c r="D119" s="386"/>
      <c r="E119" s="386"/>
      <c r="F119" s="386"/>
      <c r="G119" s="386"/>
      <c r="H119" s="386"/>
      <c r="I119" s="386"/>
      <c r="J119" s="386"/>
      <c r="K119" s="386"/>
      <c r="L119" s="386"/>
      <c r="M119" s="386"/>
      <c r="N119" s="386"/>
      <c r="O119" s="345" t="s">
        <v>585</v>
      </c>
      <c r="P119" s="386"/>
      <c r="Q119" s="345" t="s">
        <v>584</v>
      </c>
      <c r="R119" s="389"/>
    </row>
  </sheetData>
  <mergeCells count="21">
    <mergeCell ref="N57:O57"/>
    <mergeCell ref="C64:D64"/>
    <mergeCell ref="A65:B65"/>
    <mergeCell ref="A66:B66"/>
    <mergeCell ref="C59:F59"/>
    <mergeCell ref="C60:F60"/>
    <mergeCell ref="C58:F58"/>
    <mergeCell ref="J58:R58"/>
    <mergeCell ref="L59:P59"/>
    <mergeCell ref="C102:H104"/>
    <mergeCell ref="I102:Q102"/>
    <mergeCell ref="H100:L100"/>
    <mergeCell ref="K109:K110"/>
    <mergeCell ref="M109:M112"/>
    <mergeCell ref="O109:O115"/>
    <mergeCell ref="Q109:Q115"/>
    <mergeCell ref="I103:I104"/>
    <mergeCell ref="K103:K104"/>
    <mergeCell ref="M103:M104"/>
    <mergeCell ref="O103:O104"/>
    <mergeCell ref="Q103:Q10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263"/>
  <sheetViews>
    <sheetView tabSelected="1" topLeftCell="A42" workbookViewId="0">
      <selection activeCell="B47" sqref="B47"/>
    </sheetView>
  </sheetViews>
  <sheetFormatPr defaultRowHeight="15.75"/>
  <cols>
    <col min="7" max="7" width="9.875" bestFit="1" customWidth="1"/>
  </cols>
  <sheetData>
    <row r="1" spans="1:19">
      <c r="A1" s="164"/>
      <c r="B1" s="165"/>
      <c r="C1" s="165"/>
      <c r="D1" s="165"/>
      <c r="E1" s="165"/>
      <c r="F1" s="165"/>
      <c r="G1" s="165"/>
      <c r="H1" s="165"/>
      <c r="I1" s="165"/>
      <c r="J1" s="165"/>
      <c r="K1" s="165"/>
      <c r="L1" s="165"/>
      <c r="M1" s="165"/>
      <c r="N1" s="165"/>
      <c r="O1" s="166" t="s">
        <v>464</v>
      </c>
      <c r="S1" s="191"/>
    </row>
    <row r="2" spans="1:19" ht="16.5" thickBot="1">
      <c r="A2" s="167"/>
      <c r="B2" s="168"/>
      <c r="C2" s="168"/>
      <c r="D2" s="168"/>
      <c r="E2" s="168"/>
      <c r="F2" s="168"/>
      <c r="G2" s="168"/>
      <c r="H2" s="168"/>
      <c r="I2" s="168"/>
      <c r="J2" s="168"/>
      <c r="K2" s="168"/>
      <c r="L2" s="168"/>
      <c r="M2" s="168"/>
      <c r="N2" s="168" t="s">
        <v>513</v>
      </c>
      <c r="O2" s="169"/>
      <c r="S2" s="192"/>
    </row>
    <row r="3" spans="1:19" ht="16.5" thickBot="1">
      <c r="A3" s="191"/>
      <c r="B3" s="81"/>
      <c r="C3" s="81"/>
      <c r="D3" s="81"/>
      <c r="E3" s="81"/>
      <c r="F3" s="81"/>
      <c r="G3" s="81"/>
      <c r="H3" s="81"/>
      <c r="I3" s="81"/>
      <c r="J3" s="81"/>
      <c r="K3" s="81"/>
      <c r="L3" s="81"/>
      <c r="M3" s="81"/>
      <c r="N3" s="81"/>
      <c r="O3" s="81"/>
      <c r="S3" s="192"/>
    </row>
    <row r="4" spans="1:19" ht="16.5" thickBot="1">
      <c r="A4" s="192"/>
      <c r="I4" s="15"/>
      <c r="J4" s="15"/>
      <c r="K4" s="15"/>
      <c r="L4" s="15"/>
      <c r="M4" s="15"/>
      <c r="N4" s="15"/>
      <c r="O4" s="15"/>
      <c r="P4" s="15"/>
      <c r="Q4" s="170" t="s">
        <v>258</v>
      </c>
      <c r="R4" s="188" t="s">
        <v>92</v>
      </c>
      <c r="S4" s="192"/>
    </row>
    <row r="5" spans="1:19" ht="16.5" thickBot="1">
      <c r="A5" s="192"/>
      <c r="S5" s="192"/>
    </row>
    <row r="6" spans="1:19" ht="19.5" thickBot="1">
      <c r="A6" s="192"/>
      <c r="H6" s="584" t="s">
        <v>291</v>
      </c>
      <c r="I6" s="585"/>
      <c r="J6" s="238"/>
      <c r="K6" s="238"/>
      <c r="L6" s="238"/>
      <c r="M6" s="238"/>
      <c r="N6" s="238"/>
      <c r="O6" s="238"/>
      <c r="P6" s="222"/>
      <c r="Q6" s="228" t="s">
        <v>606</v>
      </c>
      <c r="R6" s="154" t="s">
        <v>259</v>
      </c>
      <c r="S6" s="192"/>
    </row>
    <row r="7" spans="1:19">
      <c r="A7" s="192"/>
      <c r="B7" s="194"/>
      <c r="C7" s="176" t="s">
        <v>260</v>
      </c>
      <c r="D7" s="177" t="s">
        <v>261</v>
      </c>
      <c r="E7" s="176" t="s">
        <v>262</v>
      </c>
      <c r="F7" s="177" t="s">
        <v>263</v>
      </c>
      <c r="G7" s="176" t="s">
        <v>264</v>
      </c>
      <c r="H7" s="187" t="s">
        <v>265</v>
      </c>
      <c r="I7" s="586" t="s">
        <v>266</v>
      </c>
      <c r="J7" s="587"/>
      <c r="K7" s="588" t="s">
        <v>267</v>
      </c>
      <c r="L7" s="588"/>
      <c r="M7" s="589" t="s">
        <v>268</v>
      </c>
      <c r="N7" s="589"/>
      <c r="O7" s="590" t="s">
        <v>182</v>
      </c>
      <c r="P7" s="591"/>
      <c r="S7" s="192"/>
    </row>
    <row r="8" spans="1:19">
      <c r="A8" s="192"/>
      <c r="B8" s="173" t="s">
        <v>269</v>
      </c>
      <c r="C8" s="172" t="s">
        <v>270</v>
      </c>
      <c r="D8" s="175" t="s">
        <v>270</v>
      </c>
      <c r="E8" s="172" t="s">
        <v>0</v>
      </c>
      <c r="F8" s="175" t="s">
        <v>275</v>
      </c>
      <c r="G8" s="172" t="s">
        <v>274</v>
      </c>
      <c r="H8" s="175" t="s">
        <v>273</v>
      </c>
      <c r="I8" s="172" t="s">
        <v>272</v>
      </c>
      <c r="J8" s="174"/>
      <c r="K8" s="175" t="s">
        <v>271</v>
      </c>
      <c r="L8" s="174"/>
      <c r="M8" s="172" t="s">
        <v>5</v>
      </c>
      <c r="N8" s="174"/>
      <c r="O8" s="175" t="s">
        <v>270</v>
      </c>
      <c r="P8" s="178"/>
      <c r="S8" s="192"/>
    </row>
    <row r="9" spans="1:19">
      <c r="A9" s="192"/>
      <c r="B9" s="195">
        <v>1</v>
      </c>
      <c r="C9" s="171" t="s">
        <v>276</v>
      </c>
      <c r="D9" s="175">
        <v>100</v>
      </c>
      <c r="E9" s="172">
        <v>61</v>
      </c>
      <c r="F9" s="175">
        <v>1.38</v>
      </c>
      <c r="G9" s="172">
        <v>0.76</v>
      </c>
      <c r="H9" s="175">
        <v>0.21</v>
      </c>
      <c r="I9" s="172">
        <v>3.6</v>
      </c>
      <c r="J9" s="174"/>
      <c r="K9" s="175">
        <v>1</v>
      </c>
      <c r="L9" s="174"/>
      <c r="M9" s="172">
        <v>23</v>
      </c>
      <c r="N9" s="174"/>
      <c r="O9" s="175" t="s">
        <v>289</v>
      </c>
      <c r="P9" s="178"/>
      <c r="S9" s="192"/>
    </row>
    <row r="10" spans="1:19">
      <c r="A10" s="192"/>
      <c r="B10" s="195">
        <f>1+B9</f>
        <v>2</v>
      </c>
      <c r="C10" s="171" t="s">
        <v>277</v>
      </c>
      <c r="D10" s="175">
        <v>250</v>
      </c>
      <c r="E10" s="172">
        <v>131</v>
      </c>
      <c r="F10" s="175">
        <v>1.58</v>
      </c>
      <c r="G10" s="172">
        <v>0.95</v>
      </c>
      <c r="H10" s="175">
        <v>0.28000000000000003</v>
      </c>
      <c r="I10" s="172">
        <v>3.4</v>
      </c>
      <c r="J10" s="174"/>
      <c r="K10" s="175">
        <v>1</v>
      </c>
      <c r="L10" s="174"/>
      <c r="M10" s="172">
        <v>62</v>
      </c>
      <c r="N10" s="174"/>
      <c r="O10" s="175" t="s">
        <v>289</v>
      </c>
      <c r="P10" s="178"/>
      <c r="S10" s="192"/>
    </row>
    <row r="11" spans="1:19" ht="16.5" thickBot="1">
      <c r="A11" s="192"/>
      <c r="B11" s="275">
        <f t="shared" ref="B11:B22" si="0">1+B10</f>
        <v>3</v>
      </c>
      <c r="C11" s="276" t="s">
        <v>281</v>
      </c>
      <c r="D11" s="185">
        <v>500</v>
      </c>
      <c r="E11" s="184">
        <v>264</v>
      </c>
      <c r="F11" s="185">
        <v>1.83</v>
      </c>
      <c r="G11" s="184">
        <v>1.21</v>
      </c>
      <c r="H11" s="185">
        <v>0.36</v>
      </c>
      <c r="I11" s="184">
        <v>3.3</v>
      </c>
      <c r="J11" s="277"/>
      <c r="K11" s="185">
        <v>1</v>
      </c>
      <c r="L11" s="277"/>
      <c r="M11" s="184">
        <v>128</v>
      </c>
      <c r="N11" s="277"/>
      <c r="O11" s="185" t="s">
        <v>289</v>
      </c>
      <c r="P11" s="278"/>
      <c r="S11" s="192"/>
    </row>
    <row r="12" spans="1:19" ht="16.5" thickBot="1">
      <c r="A12" s="192"/>
      <c r="B12" s="285">
        <f t="shared" si="0"/>
        <v>4</v>
      </c>
      <c r="C12" s="286" t="s">
        <v>278</v>
      </c>
      <c r="D12" s="287">
        <v>750</v>
      </c>
      <c r="E12" s="288">
        <v>373</v>
      </c>
      <c r="F12" s="287">
        <v>2.27</v>
      </c>
      <c r="G12" s="288">
        <v>1.42</v>
      </c>
      <c r="H12" s="287">
        <v>0.41</v>
      </c>
      <c r="I12" s="289">
        <v>3.5</v>
      </c>
      <c r="J12" s="290"/>
      <c r="K12" s="287">
        <v>1</v>
      </c>
      <c r="L12" s="290"/>
      <c r="M12" s="288">
        <v>177</v>
      </c>
      <c r="N12" s="290"/>
      <c r="O12" s="287" t="s">
        <v>289</v>
      </c>
      <c r="P12" s="291"/>
      <c r="S12" s="192"/>
    </row>
    <row r="13" spans="1:19">
      <c r="A13" s="192"/>
      <c r="B13" s="279">
        <f t="shared" si="0"/>
        <v>5</v>
      </c>
      <c r="C13" s="280" t="s">
        <v>279</v>
      </c>
      <c r="D13" s="281">
        <v>1000</v>
      </c>
      <c r="E13" s="282">
        <v>547</v>
      </c>
      <c r="F13" s="281">
        <v>2.46</v>
      </c>
      <c r="G13" s="282">
        <v>1.37</v>
      </c>
      <c r="H13" s="281">
        <v>0.48</v>
      </c>
      <c r="I13" s="282">
        <v>2.8</v>
      </c>
      <c r="J13" s="283"/>
      <c r="K13" s="281">
        <v>1</v>
      </c>
      <c r="L13" s="283"/>
      <c r="M13" s="282">
        <v>270</v>
      </c>
      <c r="N13" s="283"/>
      <c r="O13" s="281" t="s">
        <v>289</v>
      </c>
      <c r="P13" s="284"/>
      <c r="S13" s="192"/>
    </row>
    <row r="14" spans="1:19">
      <c r="A14" s="192"/>
      <c r="B14" s="195">
        <f t="shared" si="0"/>
        <v>6</v>
      </c>
      <c r="C14" s="171" t="s">
        <v>280</v>
      </c>
      <c r="D14" s="175">
        <v>2000</v>
      </c>
      <c r="E14" s="172">
        <v>1033</v>
      </c>
      <c r="F14" s="175">
        <v>2.97</v>
      </c>
      <c r="G14" s="172">
        <v>1.82</v>
      </c>
      <c r="H14" s="175">
        <v>0.59</v>
      </c>
      <c r="I14" s="172">
        <v>3.1</v>
      </c>
      <c r="J14" s="174"/>
      <c r="K14" s="175">
        <v>1</v>
      </c>
      <c r="L14" s="174"/>
      <c r="M14" s="172">
        <v>526</v>
      </c>
      <c r="N14" s="174"/>
      <c r="O14" s="175" t="s">
        <v>289</v>
      </c>
      <c r="P14" s="178"/>
      <c r="S14" s="192"/>
    </row>
    <row r="15" spans="1:19">
      <c r="A15" s="192"/>
      <c r="B15" s="195">
        <f t="shared" si="0"/>
        <v>7</v>
      </c>
      <c r="C15" s="171" t="s">
        <v>270</v>
      </c>
      <c r="D15" s="175">
        <v>3000</v>
      </c>
      <c r="E15" s="172">
        <v>1383</v>
      </c>
      <c r="F15" s="175">
        <v>4.7</v>
      </c>
      <c r="G15" s="172">
        <v>3.07</v>
      </c>
      <c r="H15" s="175">
        <v>0.61</v>
      </c>
      <c r="I15" s="172">
        <v>5</v>
      </c>
      <c r="J15" s="174"/>
      <c r="K15" s="175">
        <v>1</v>
      </c>
      <c r="L15" s="174"/>
      <c r="M15" s="172">
        <v>816</v>
      </c>
      <c r="N15" s="174"/>
      <c r="O15" s="175" t="s">
        <v>289</v>
      </c>
      <c r="P15" s="178"/>
      <c r="S15" s="192"/>
    </row>
    <row r="16" spans="1:19">
      <c r="A16" s="192"/>
      <c r="B16" s="195">
        <f t="shared" si="0"/>
        <v>8</v>
      </c>
      <c r="C16" s="171" t="s">
        <v>282</v>
      </c>
      <c r="D16" s="175">
        <v>250</v>
      </c>
      <c r="E16" s="172">
        <v>118</v>
      </c>
      <c r="F16" s="175">
        <v>1.88</v>
      </c>
      <c r="G16" s="172">
        <v>1.18</v>
      </c>
      <c r="H16" s="175">
        <v>0.23</v>
      </c>
      <c r="I16" s="172">
        <v>5.2</v>
      </c>
      <c r="J16" s="174"/>
      <c r="K16" s="175">
        <v>2.5</v>
      </c>
      <c r="L16" s="174"/>
      <c r="M16" s="172">
        <v>45</v>
      </c>
      <c r="N16" s="174"/>
      <c r="O16" s="175" t="s">
        <v>289</v>
      </c>
      <c r="P16" s="178"/>
      <c r="S16" s="192"/>
    </row>
    <row r="17" spans="1:19">
      <c r="A17" s="192"/>
      <c r="B17" s="195">
        <f t="shared" si="0"/>
        <v>9</v>
      </c>
      <c r="C17" s="171" t="s">
        <v>283</v>
      </c>
      <c r="D17" s="175">
        <v>500</v>
      </c>
      <c r="E17" s="172">
        <v>241</v>
      </c>
      <c r="F17" s="175">
        <v>2.21</v>
      </c>
      <c r="G17" s="172">
        <v>1.55</v>
      </c>
      <c r="H17" s="175">
        <v>0.27</v>
      </c>
      <c r="I17" s="172">
        <v>5.7</v>
      </c>
      <c r="J17" s="174"/>
      <c r="K17" s="175">
        <v>2.5</v>
      </c>
      <c r="L17" s="174"/>
      <c r="M17" s="172">
        <v>87</v>
      </c>
      <c r="N17" s="174"/>
      <c r="O17" s="175" t="s">
        <v>289</v>
      </c>
      <c r="P17" s="178"/>
      <c r="S17" s="192"/>
    </row>
    <row r="18" spans="1:19">
      <c r="A18" s="192"/>
      <c r="B18" s="195">
        <f t="shared" si="0"/>
        <v>10</v>
      </c>
      <c r="C18" s="350" t="s">
        <v>284</v>
      </c>
      <c r="D18" s="351">
        <v>1000</v>
      </c>
      <c r="E18" s="352">
        <v>441</v>
      </c>
      <c r="F18" s="351">
        <v>3.01</v>
      </c>
      <c r="G18" s="352">
        <v>1.92</v>
      </c>
      <c r="H18" s="351">
        <v>0.36</v>
      </c>
      <c r="I18" s="352">
        <v>5.3</v>
      </c>
      <c r="J18" s="353"/>
      <c r="K18" s="351">
        <v>2</v>
      </c>
      <c r="L18" s="353"/>
      <c r="M18" s="352">
        <v>215</v>
      </c>
      <c r="N18" s="353"/>
      <c r="O18" s="351" t="s">
        <v>289</v>
      </c>
      <c r="P18" s="178"/>
      <c r="S18" s="192"/>
    </row>
    <row r="19" spans="1:19">
      <c r="A19" s="192"/>
      <c r="B19" s="195">
        <f t="shared" si="0"/>
        <v>11</v>
      </c>
      <c r="C19" s="171" t="s">
        <v>285</v>
      </c>
      <c r="D19" s="175">
        <v>2000</v>
      </c>
      <c r="E19" s="172">
        <v>894</v>
      </c>
      <c r="F19" s="175">
        <v>3.83</v>
      </c>
      <c r="G19" s="172">
        <v>2.41</v>
      </c>
      <c r="H19" s="175">
        <v>0.46</v>
      </c>
      <c r="I19" s="172">
        <v>5.2</v>
      </c>
      <c r="J19" s="174"/>
      <c r="K19" s="175">
        <v>2</v>
      </c>
      <c r="L19" s="174"/>
      <c r="M19" s="172">
        <v>430</v>
      </c>
      <c r="N19" s="174"/>
      <c r="O19" s="175" t="s">
        <v>289</v>
      </c>
      <c r="P19" s="178"/>
      <c r="S19" s="192"/>
    </row>
    <row r="20" spans="1:19">
      <c r="A20" s="192"/>
      <c r="B20" s="195">
        <f t="shared" si="0"/>
        <v>12</v>
      </c>
      <c r="C20" s="171" t="s">
        <v>286</v>
      </c>
      <c r="D20" s="175">
        <v>250</v>
      </c>
      <c r="E20" s="172">
        <v>134</v>
      </c>
      <c r="F20" s="175">
        <v>1.91</v>
      </c>
      <c r="G20" s="172">
        <v>1.19</v>
      </c>
      <c r="H20" s="175">
        <v>0.23</v>
      </c>
      <c r="I20" s="172">
        <v>5.2</v>
      </c>
      <c r="J20" s="174"/>
      <c r="K20" s="175">
        <v>2.5</v>
      </c>
      <c r="L20" s="174"/>
      <c r="M20" s="172">
        <v>45</v>
      </c>
      <c r="N20" s="174"/>
      <c r="O20" s="175" t="s">
        <v>289</v>
      </c>
      <c r="P20" s="178"/>
      <c r="S20" s="192"/>
    </row>
    <row r="21" spans="1:19">
      <c r="A21" s="192"/>
      <c r="B21" s="195">
        <f t="shared" si="0"/>
        <v>13</v>
      </c>
      <c r="C21" s="171" t="s">
        <v>287</v>
      </c>
      <c r="D21" s="175">
        <v>500</v>
      </c>
      <c r="E21" s="172">
        <v>260</v>
      </c>
      <c r="F21" s="175">
        <v>2.2599999999999998</v>
      </c>
      <c r="G21" s="172">
        <v>1.55</v>
      </c>
      <c r="H21" s="175">
        <v>0.27</v>
      </c>
      <c r="I21" s="172">
        <v>5.7</v>
      </c>
      <c r="J21" s="174"/>
      <c r="K21" s="175">
        <v>2.5</v>
      </c>
      <c r="L21" s="174"/>
      <c r="M21" s="172">
        <v>87</v>
      </c>
      <c r="N21" s="174"/>
      <c r="O21" s="175" t="s">
        <v>289</v>
      </c>
      <c r="P21" s="178"/>
      <c r="S21" s="192"/>
    </row>
    <row r="22" spans="1:19" ht="16.5" thickBot="1">
      <c r="A22" s="192"/>
      <c r="B22" s="196">
        <f t="shared" si="0"/>
        <v>14</v>
      </c>
      <c r="C22" s="179" t="s">
        <v>288</v>
      </c>
      <c r="D22" s="180">
        <v>750</v>
      </c>
      <c r="E22" s="184">
        <v>380</v>
      </c>
      <c r="F22" s="185">
        <v>2.21</v>
      </c>
      <c r="G22" s="184">
        <v>1.1200000000000001</v>
      </c>
      <c r="H22" s="185">
        <v>0.11</v>
      </c>
      <c r="I22" s="184">
        <v>3.5</v>
      </c>
      <c r="J22" s="182"/>
      <c r="K22" s="180">
        <v>1</v>
      </c>
      <c r="L22" s="182"/>
      <c r="M22" s="181">
        <v>177</v>
      </c>
      <c r="N22" s="182"/>
      <c r="O22" s="180" t="s">
        <v>289</v>
      </c>
      <c r="P22" s="183"/>
      <c r="S22" s="192"/>
    </row>
    <row r="23" spans="1:19">
      <c r="A23" s="192"/>
      <c r="E23" s="221">
        <v>441</v>
      </c>
      <c r="F23" s="221">
        <v>3.01</v>
      </c>
      <c r="G23" s="221">
        <v>1.92</v>
      </c>
      <c r="H23" s="221">
        <v>0.36</v>
      </c>
      <c r="I23" s="221">
        <v>5.3</v>
      </c>
      <c r="J23" s="20"/>
      <c r="K23" s="292">
        <v>2</v>
      </c>
      <c r="L23" s="20"/>
      <c r="M23" s="292">
        <v>215</v>
      </c>
      <c r="S23" s="192"/>
    </row>
    <row r="24" spans="1:19" ht="18.75">
      <c r="A24" s="192"/>
      <c r="E24" s="102"/>
      <c r="K24" s="19"/>
      <c r="L24" s="19"/>
      <c r="M24" s="19"/>
      <c r="N24" s="19"/>
      <c r="O24" s="19"/>
      <c r="P24" s="19"/>
      <c r="Q24" s="19"/>
      <c r="R24" s="186" t="s">
        <v>290</v>
      </c>
      <c r="S24" s="192"/>
    </row>
    <row r="25" spans="1:19">
      <c r="A25" s="192"/>
      <c r="S25" s="192"/>
    </row>
    <row r="26" spans="1:19">
      <c r="A26" s="192"/>
      <c r="F26" s="565" t="s">
        <v>180</v>
      </c>
      <c r="G26" s="565"/>
      <c r="N26" s="565" t="s">
        <v>181</v>
      </c>
      <c r="O26" s="565"/>
      <c r="S26" s="192"/>
    </row>
    <row r="27" spans="1:19">
      <c r="A27" s="192"/>
      <c r="B27" s="627" t="s">
        <v>63</v>
      </c>
      <c r="C27" s="531"/>
      <c r="D27" s="531"/>
      <c r="E27" s="531"/>
      <c r="F27" s="531"/>
      <c r="G27" s="531"/>
      <c r="H27" s="531"/>
      <c r="I27" s="531"/>
      <c r="J27" s="531"/>
      <c r="L27" s="566" t="s">
        <v>182</v>
      </c>
      <c r="M27" s="566"/>
      <c r="N27" s="156" t="s">
        <v>184</v>
      </c>
      <c r="O27" s="156" t="s">
        <v>185</v>
      </c>
      <c r="P27" s="156" t="s">
        <v>186</v>
      </c>
      <c r="Q27" s="156" t="s">
        <v>187</v>
      </c>
      <c r="R27" s="189" t="s">
        <v>188</v>
      </c>
      <c r="S27" s="192"/>
    </row>
    <row r="28" spans="1:19">
      <c r="A28" s="192"/>
      <c r="B28" s="197"/>
      <c r="C28" s="36"/>
      <c r="D28" s="531" t="s">
        <v>64</v>
      </c>
      <c r="E28" s="531"/>
      <c r="F28" s="531"/>
      <c r="G28" s="531"/>
      <c r="H28" s="531"/>
      <c r="I28" s="36"/>
      <c r="J28" s="36"/>
      <c r="L28" s="566" t="s">
        <v>292</v>
      </c>
      <c r="M28" s="566"/>
      <c r="N28" s="354">
        <v>1.639</v>
      </c>
      <c r="O28" s="41">
        <v>1.34</v>
      </c>
      <c r="P28" s="41">
        <v>1.26</v>
      </c>
      <c r="Q28" s="41">
        <v>1.23</v>
      </c>
      <c r="R28" s="190">
        <v>1.05</v>
      </c>
      <c r="S28" s="192"/>
    </row>
    <row r="29" spans="1:19">
      <c r="A29" s="192"/>
      <c r="B29" s="197"/>
      <c r="C29" s="36"/>
      <c r="D29" s="155" t="s">
        <v>74</v>
      </c>
      <c r="E29" s="355" t="s">
        <v>66</v>
      </c>
      <c r="F29" s="36" t="s">
        <v>67</v>
      </c>
      <c r="G29" s="39" t="s">
        <v>68</v>
      </c>
      <c r="H29" s="36"/>
      <c r="I29" s="36"/>
      <c r="J29" s="36"/>
      <c r="L29" s="198" t="s">
        <v>194</v>
      </c>
      <c r="M29" s="221">
        <v>1.639</v>
      </c>
      <c r="S29" s="192"/>
    </row>
    <row r="30" spans="1:19">
      <c r="A30" s="192"/>
      <c r="B30" s="197"/>
      <c r="C30" s="36"/>
      <c r="D30" s="38" t="s">
        <v>73</v>
      </c>
      <c r="E30" s="355" t="s">
        <v>69</v>
      </c>
      <c r="F30" s="36" t="s">
        <v>70</v>
      </c>
      <c r="G30" s="39" t="s">
        <v>71</v>
      </c>
      <c r="H30" s="36"/>
      <c r="I30" s="36"/>
      <c r="J30" s="36"/>
      <c r="R30" t="s">
        <v>293</v>
      </c>
      <c r="S30" s="192"/>
    </row>
    <row r="31" spans="1:19" ht="16.5" thickBot="1">
      <c r="A31" s="192"/>
      <c r="B31" s="197"/>
      <c r="C31" s="36"/>
      <c r="D31" s="36"/>
      <c r="E31" s="36"/>
      <c r="F31" s="36"/>
      <c r="G31" s="40" t="s">
        <v>72</v>
      </c>
      <c r="H31" s="36"/>
      <c r="I31" s="36"/>
      <c r="J31" s="217"/>
      <c r="S31" s="192"/>
    </row>
    <row r="32" spans="1:19">
      <c r="A32" s="192"/>
      <c r="B32" s="199" t="s">
        <v>192</v>
      </c>
      <c r="C32" s="292">
        <v>350</v>
      </c>
      <c r="E32" s="198" t="s">
        <v>193</v>
      </c>
      <c r="F32" s="292">
        <v>20</v>
      </c>
      <c r="J32" s="218"/>
      <c r="S32" s="192"/>
    </row>
    <row r="33" spans="1:19" ht="16.5" thickBot="1">
      <c r="A33" s="192"/>
      <c r="J33" s="219"/>
      <c r="S33" s="192"/>
    </row>
    <row r="34" spans="1:19" ht="16.5" thickBot="1">
      <c r="A34" s="192"/>
      <c r="D34" s="215"/>
      <c r="E34" s="162"/>
      <c r="F34" s="162"/>
      <c r="G34" s="162"/>
      <c r="H34" s="162"/>
      <c r="I34" s="162"/>
      <c r="J34" s="89" t="s">
        <v>465</v>
      </c>
      <c r="S34" s="192"/>
    </row>
    <row r="35" spans="1:19" ht="16.5" thickBot="1">
      <c r="A35" s="192"/>
      <c r="M35" s="225"/>
      <c r="N35" s="227"/>
      <c r="O35" s="227"/>
      <c r="P35" s="227"/>
      <c r="Q35" s="227" t="s">
        <v>362</v>
      </c>
      <c r="R35" s="88" t="s">
        <v>361</v>
      </c>
      <c r="S35" s="192"/>
    </row>
    <row r="36" spans="1:19" ht="16.5" thickBot="1">
      <c r="A36" s="192"/>
      <c r="S36" s="192"/>
    </row>
    <row r="37" spans="1:19" ht="21" thickBot="1">
      <c r="A37" s="192"/>
      <c r="N37" s="118" t="s">
        <v>602</v>
      </c>
      <c r="O37" s="419" t="s">
        <v>294</v>
      </c>
      <c r="P37" s="420"/>
      <c r="Q37" s="420"/>
      <c r="R37" s="421"/>
      <c r="S37" s="192"/>
    </row>
    <row r="38" spans="1:19" ht="16.5" thickBot="1">
      <c r="A38" s="192"/>
      <c r="G38" s="471" t="s">
        <v>298</v>
      </c>
      <c r="H38" s="473"/>
      <c r="N38" s="356">
        <v>1.25</v>
      </c>
      <c r="O38" s="568" t="s">
        <v>189</v>
      </c>
      <c r="P38" s="569"/>
      <c r="Q38" s="569"/>
      <c r="R38" s="570"/>
      <c r="S38" s="192"/>
    </row>
    <row r="39" spans="1:19" ht="16.5" thickBot="1">
      <c r="A39" s="192"/>
      <c r="C39" s="602" t="s">
        <v>303</v>
      </c>
      <c r="D39" s="603"/>
      <c r="E39" s="603"/>
      <c r="F39" s="603"/>
      <c r="G39" s="604" t="s">
        <v>299</v>
      </c>
      <c r="H39" s="604"/>
      <c r="I39" s="604" t="s">
        <v>300</v>
      </c>
      <c r="J39" s="604"/>
      <c r="K39" s="261" t="s">
        <v>301</v>
      </c>
      <c r="L39" s="604" t="s">
        <v>302</v>
      </c>
      <c r="M39" s="605"/>
      <c r="N39" s="200">
        <v>1.5</v>
      </c>
      <c r="O39" s="579" t="s">
        <v>297</v>
      </c>
      <c r="P39" s="572"/>
      <c r="Q39" s="572"/>
      <c r="R39" s="573"/>
      <c r="S39" s="192"/>
    </row>
    <row r="40" spans="1:19" ht="21" thickBot="1">
      <c r="A40" s="192"/>
      <c r="C40" s="206"/>
      <c r="D40" s="204"/>
      <c r="E40" s="613" t="s">
        <v>269</v>
      </c>
      <c r="F40" s="613"/>
      <c r="G40" s="201" t="s">
        <v>304</v>
      </c>
      <c r="H40" s="202"/>
      <c r="I40" s="201" t="s">
        <v>305</v>
      </c>
      <c r="J40" s="202"/>
      <c r="K40" s="201" t="s">
        <v>306</v>
      </c>
      <c r="L40" s="202"/>
      <c r="M40" s="207" t="s">
        <v>307</v>
      </c>
      <c r="N40" s="214" t="s">
        <v>296</v>
      </c>
      <c r="O40" s="293">
        <v>1.25</v>
      </c>
      <c r="S40" s="192"/>
    </row>
    <row r="41" spans="1:19" ht="16.5" thickBot="1">
      <c r="A41" s="192"/>
      <c r="C41" s="631" t="s">
        <v>308</v>
      </c>
      <c r="D41" s="619"/>
      <c r="E41" s="619"/>
      <c r="F41" s="620"/>
      <c r="G41" s="209">
        <v>1.2999999999999999E-5</v>
      </c>
      <c r="H41" s="203"/>
      <c r="I41" s="41">
        <v>0.6</v>
      </c>
      <c r="J41" s="203"/>
      <c r="K41" s="41">
        <v>0.85</v>
      </c>
      <c r="L41" s="203"/>
      <c r="M41" s="208" t="s">
        <v>270</v>
      </c>
      <c r="N41" s="215"/>
      <c r="O41" s="162"/>
      <c r="P41" s="162"/>
      <c r="Q41" s="162"/>
      <c r="R41" s="163" t="s">
        <v>295</v>
      </c>
      <c r="S41" s="192"/>
    </row>
    <row r="42" spans="1:19" ht="16.5" thickBot="1">
      <c r="A42" s="192"/>
      <c r="C42" s="632" t="s">
        <v>309</v>
      </c>
      <c r="D42" s="633"/>
      <c r="E42" s="633"/>
      <c r="F42" s="634"/>
      <c r="G42" s="294">
        <v>6.9999999999999999E-6</v>
      </c>
      <c r="H42" s="295"/>
      <c r="I42" s="241">
        <v>0.5</v>
      </c>
      <c r="J42" s="295"/>
      <c r="K42" s="241">
        <v>0.6</v>
      </c>
      <c r="L42" s="295"/>
      <c r="M42" s="296" t="s">
        <v>270</v>
      </c>
      <c r="S42" s="192"/>
    </row>
    <row r="43" spans="1:19" ht="16.5" thickBot="1">
      <c r="A43" s="192"/>
      <c r="C43" s="568" t="s">
        <v>331</v>
      </c>
      <c r="D43" s="569"/>
      <c r="E43" s="569"/>
      <c r="F43" s="635"/>
      <c r="G43" s="357">
        <v>6.0000000000000002E-6</v>
      </c>
      <c r="H43" s="360"/>
      <c r="I43" s="358">
        <v>0.5</v>
      </c>
      <c r="J43" s="360"/>
      <c r="K43" s="358">
        <v>0.6</v>
      </c>
      <c r="L43" s="298"/>
      <c r="M43" s="300" t="s">
        <v>270</v>
      </c>
      <c r="S43" s="192"/>
    </row>
    <row r="44" spans="1:19" ht="16.5" thickBot="1">
      <c r="A44" s="192"/>
      <c r="C44" s="568" t="s">
        <v>310</v>
      </c>
      <c r="D44" s="569"/>
      <c r="E44" s="569"/>
      <c r="F44" s="635"/>
      <c r="G44" s="357">
        <v>5.0000000000000004E-6</v>
      </c>
      <c r="H44" s="360"/>
      <c r="I44" s="358">
        <v>0.5</v>
      </c>
      <c r="J44" s="360"/>
      <c r="K44" s="358">
        <v>0.6</v>
      </c>
      <c r="L44" s="298"/>
      <c r="M44" s="300" t="s">
        <v>270</v>
      </c>
      <c r="S44" s="192"/>
    </row>
    <row r="45" spans="1:19" ht="16.5" thickBot="1">
      <c r="A45" s="192"/>
      <c r="C45" s="628" t="s">
        <v>616</v>
      </c>
      <c r="D45" s="629"/>
      <c r="E45" s="629"/>
      <c r="F45" s="630"/>
      <c r="G45" s="297">
        <v>4.5000000000000001E-6</v>
      </c>
      <c r="H45" s="202"/>
      <c r="I45" s="243">
        <v>0.5</v>
      </c>
      <c r="J45" s="202"/>
      <c r="K45" s="243">
        <v>0.63</v>
      </c>
      <c r="L45" s="202"/>
      <c r="M45" s="207" t="s">
        <v>270</v>
      </c>
      <c r="S45" s="192"/>
    </row>
    <row r="46" spans="1:19" ht="16.5" thickBot="1">
      <c r="A46" s="192"/>
      <c r="C46" s="631" t="s">
        <v>311</v>
      </c>
      <c r="D46" s="619"/>
      <c r="E46" s="619"/>
      <c r="F46" s="620"/>
      <c r="G46" s="209">
        <v>3.0000000000000001E-6</v>
      </c>
      <c r="H46" s="203"/>
      <c r="I46" s="41">
        <v>0.25</v>
      </c>
      <c r="J46" s="203"/>
      <c r="K46" s="41">
        <v>0.57999999999999996</v>
      </c>
      <c r="L46" s="203"/>
      <c r="M46" s="208">
        <v>0.88</v>
      </c>
      <c r="P46" s="471" t="s">
        <v>323</v>
      </c>
      <c r="Q46" s="473"/>
      <c r="S46" s="192"/>
    </row>
    <row r="47" spans="1:19" ht="16.5" thickBot="1">
      <c r="A47" s="192"/>
      <c r="C47" s="631" t="s">
        <v>312</v>
      </c>
      <c r="D47" s="619"/>
      <c r="E47" s="619"/>
      <c r="F47" s="620"/>
      <c r="G47" s="209">
        <v>2.5000000000000002E-6</v>
      </c>
      <c r="H47" s="203"/>
      <c r="I47" s="41">
        <v>0.25</v>
      </c>
      <c r="J47" s="203"/>
      <c r="K47" s="41">
        <v>0.61</v>
      </c>
      <c r="L47" s="203"/>
      <c r="M47" s="190">
        <v>0.81</v>
      </c>
      <c r="N47" s="609" t="s">
        <v>325</v>
      </c>
      <c r="O47" s="610"/>
      <c r="P47" s="610"/>
      <c r="Q47" s="313" t="s">
        <v>92</v>
      </c>
      <c r="R47" s="314" t="s">
        <v>324</v>
      </c>
      <c r="S47" s="210"/>
    </row>
    <row r="48" spans="1:19" ht="16.5" thickBot="1">
      <c r="A48" s="192"/>
      <c r="C48" s="631" t="s">
        <v>313</v>
      </c>
      <c r="D48" s="619"/>
      <c r="E48" s="619"/>
      <c r="F48" s="620"/>
      <c r="G48" s="209">
        <v>6.9999999999999997E-7</v>
      </c>
      <c r="H48" s="203"/>
      <c r="I48" s="41">
        <v>0.2</v>
      </c>
      <c r="J48" s="203"/>
      <c r="K48" s="41">
        <v>0.53</v>
      </c>
      <c r="L48" s="203"/>
      <c r="M48" s="190">
        <v>0.75</v>
      </c>
      <c r="N48" s="611" t="s">
        <v>326</v>
      </c>
      <c r="O48" s="594"/>
      <c r="P48" s="594"/>
      <c r="Q48" s="361" t="s">
        <v>327</v>
      </c>
      <c r="R48" s="359">
        <v>3</v>
      </c>
      <c r="S48" s="210"/>
    </row>
    <row r="49" spans="1:19" ht="16.5" thickBot="1">
      <c r="A49" s="192"/>
      <c r="C49" s="632" t="s">
        <v>615</v>
      </c>
      <c r="D49" s="633"/>
      <c r="E49" s="633"/>
      <c r="F49" s="634"/>
      <c r="G49" s="294">
        <v>1.5E-6</v>
      </c>
      <c r="H49" s="295"/>
      <c r="I49" s="241">
        <v>0.25</v>
      </c>
      <c r="J49" s="295"/>
      <c r="K49" s="241">
        <v>0.56000000000000005</v>
      </c>
      <c r="L49" s="295"/>
      <c r="M49" s="301">
        <v>0.79</v>
      </c>
      <c r="N49" s="611" t="s">
        <v>328</v>
      </c>
      <c r="O49" s="594"/>
      <c r="P49" s="594"/>
      <c r="Q49" s="358">
        <v>5</v>
      </c>
      <c r="R49" s="359">
        <v>3</v>
      </c>
      <c r="S49" s="210"/>
    </row>
    <row r="50" spans="1:19" ht="16.5" thickBot="1">
      <c r="A50" s="192"/>
      <c r="C50" s="568" t="s">
        <v>314</v>
      </c>
      <c r="D50" s="569"/>
      <c r="E50" s="569"/>
      <c r="F50" s="635"/>
      <c r="G50" s="362">
        <v>1.1999999999999999E-6</v>
      </c>
      <c r="H50" s="363"/>
      <c r="I50" s="364">
        <v>0.16</v>
      </c>
      <c r="J50" s="363"/>
      <c r="K50" s="364">
        <v>0.36</v>
      </c>
      <c r="L50" s="363"/>
      <c r="M50" s="365">
        <v>0.51</v>
      </c>
      <c r="N50" s="612" t="s">
        <v>309</v>
      </c>
      <c r="O50" s="613"/>
      <c r="P50" s="613"/>
      <c r="Q50" s="243">
        <v>18</v>
      </c>
      <c r="R50" s="207">
        <v>2.8</v>
      </c>
      <c r="S50" s="210"/>
    </row>
    <row r="51" spans="1:19" ht="16.5" thickBot="1">
      <c r="A51" s="192"/>
      <c r="C51" s="579" t="s">
        <v>315</v>
      </c>
      <c r="D51" s="580"/>
      <c r="E51" s="580"/>
      <c r="F51" s="640"/>
      <c r="G51" s="302">
        <v>9.9999999999999995E-7</v>
      </c>
      <c r="H51" s="303"/>
      <c r="I51" s="304">
        <v>0.16</v>
      </c>
      <c r="J51" s="303"/>
      <c r="K51" s="304">
        <v>0.34</v>
      </c>
      <c r="L51" s="303"/>
      <c r="M51" s="305">
        <v>0.48</v>
      </c>
      <c r="N51" s="618" t="s">
        <v>333</v>
      </c>
      <c r="O51" s="619"/>
      <c r="P51" s="620"/>
      <c r="Q51" s="242">
        <v>4</v>
      </c>
      <c r="R51" s="242">
        <v>3</v>
      </c>
      <c r="S51" s="210"/>
    </row>
    <row r="52" spans="1:19" ht="16.5" thickBot="1">
      <c r="A52" s="192"/>
      <c r="C52" s="568" t="s">
        <v>316</v>
      </c>
      <c r="D52" s="569"/>
      <c r="E52" s="569"/>
      <c r="F52" s="635"/>
      <c r="G52" s="357">
        <v>7.9999999999999996E-7</v>
      </c>
      <c r="H52" s="360"/>
      <c r="I52" s="358">
        <v>0.13</v>
      </c>
      <c r="J52" s="360"/>
      <c r="K52" s="358">
        <v>0.32</v>
      </c>
      <c r="L52" s="360"/>
      <c r="M52" s="359">
        <v>0.46</v>
      </c>
      <c r="N52" s="614" t="s">
        <v>332</v>
      </c>
      <c r="O52" s="600"/>
      <c r="P52" s="600"/>
      <c r="Q52" s="311">
        <v>5</v>
      </c>
      <c r="R52" s="311">
        <v>3</v>
      </c>
      <c r="S52" s="210"/>
    </row>
    <row r="53" spans="1:19" ht="16.5" thickBot="1">
      <c r="A53" s="192"/>
      <c r="C53" s="571" t="s">
        <v>317</v>
      </c>
      <c r="D53" s="572"/>
      <c r="E53" s="572"/>
      <c r="F53" s="641"/>
      <c r="G53" s="306">
        <v>6.9999999999999997E-7</v>
      </c>
      <c r="H53" s="307"/>
      <c r="I53" s="306">
        <v>0.13</v>
      </c>
      <c r="J53" s="307"/>
      <c r="K53" s="306">
        <v>0.3</v>
      </c>
      <c r="L53" s="307"/>
      <c r="M53" s="308">
        <v>0.44</v>
      </c>
      <c r="N53" s="615" t="s">
        <v>319</v>
      </c>
      <c r="O53" s="616"/>
      <c r="P53" s="617"/>
      <c r="Q53" s="293">
        <v>3</v>
      </c>
      <c r="R53" s="293">
        <v>3</v>
      </c>
      <c r="S53" s="192"/>
    </row>
    <row r="54" spans="1:19">
      <c r="A54" s="192"/>
      <c r="C54" s="606" t="s">
        <v>318</v>
      </c>
      <c r="D54" s="607"/>
      <c r="E54" s="607"/>
      <c r="F54" s="608"/>
      <c r="G54" s="309">
        <v>7.9999999999999996E-7</v>
      </c>
      <c r="H54" s="205"/>
      <c r="I54" s="311">
        <v>0.13</v>
      </c>
      <c r="J54" s="205"/>
      <c r="K54" s="311">
        <v>0.32</v>
      </c>
      <c r="L54" s="205"/>
      <c r="M54" s="312">
        <v>0.46</v>
      </c>
      <c r="N54" s="621" t="s">
        <v>329</v>
      </c>
      <c r="O54" s="622"/>
      <c r="P54" s="622"/>
      <c r="Q54" s="622"/>
      <c r="R54" s="623"/>
      <c r="S54" s="192"/>
    </row>
    <row r="55" spans="1:19" ht="16.5" thickBot="1">
      <c r="A55" s="192"/>
      <c r="C55" s="637" t="s">
        <v>319</v>
      </c>
      <c r="D55" s="638"/>
      <c r="E55" s="638"/>
      <c r="F55" s="639"/>
      <c r="G55" s="310">
        <v>5.0000000000000004E-6</v>
      </c>
      <c r="H55" s="205"/>
      <c r="I55" s="221">
        <v>0.5</v>
      </c>
      <c r="J55" s="205"/>
      <c r="K55" s="221">
        <v>0.6</v>
      </c>
      <c r="L55" s="205"/>
      <c r="M55" s="221" t="s">
        <v>270</v>
      </c>
      <c r="N55" s="211"/>
      <c r="O55" s="212"/>
      <c r="P55" s="212"/>
      <c r="Q55" s="212"/>
      <c r="R55" s="213" t="s">
        <v>330</v>
      </c>
      <c r="S55" s="192"/>
    </row>
    <row r="56" spans="1:19">
      <c r="A56" s="192"/>
      <c r="C56" s="637" t="s">
        <v>320</v>
      </c>
      <c r="D56" s="638"/>
      <c r="E56" s="638"/>
      <c r="F56" s="639"/>
      <c r="G56" s="310">
        <v>1.7999999999999999E-6</v>
      </c>
      <c r="H56" s="205"/>
      <c r="I56" s="221">
        <v>0.5</v>
      </c>
      <c r="J56" s="205"/>
      <c r="K56" s="221">
        <v>0.56000000000000005</v>
      </c>
      <c r="L56" s="205"/>
      <c r="M56" s="221" t="s">
        <v>270</v>
      </c>
      <c r="S56" s="192"/>
    </row>
    <row r="57" spans="1:19" ht="16.5" thickBot="1">
      <c r="A57" s="192"/>
      <c r="C57" s="637" t="s">
        <v>321</v>
      </c>
      <c r="D57" s="638"/>
      <c r="E57" s="638"/>
      <c r="F57" s="639"/>
      <c r="G57" s="310">
        <v>7.9999999999999996E-7</v>
      </c>
      <c r="H57" s="216"/>
      <c r="I57" s="293">
        <v>0.13</v>
      </c>
      <c r="J57" s="216"/>
      <c r="K57" s="293">
        <v>0.32</v>
      </c>
      <c r="L57" s="216"/>
      <c r="M57" s="293">
        <v>0.46</v>
      </c>
      <c r="S57" s="192"/>
    </row>
    <row r="58" spans="1:19" ht="16.5" thickBot="1">
      <c r="A58" s="192"/>
      <c r="H58" s="215"/>
      <c r="I58" s="162"/>
      <c r="J58" s="162"/>
      <c r="K58" s="162"/>
      <c r="L58" s="162"/>
      <c r="M58" s="163" t="s">
        <v>322</v>
      </c>
      <c r="S58" s="192"/>
    </row>
    <row r="59" spans="1:19">
      <c r="A59" s="192"/>
      <c r="S59" s="192"/>
    </row>
    <row r="60" spans="1:19" ht="16.5" thickBot="1">
      <c r="A60" s="192"/>
      <c r="S60" s="192"/>
    </row>
    <row r="61" spans="1:19" ht="16.5" thickBot="1">
      <c r="A61" s="192"/>
      <c r="F61" s="419" t="s">
        <v>354</v>
      </c>
      <c r="G61" s="421"/>
      <c r="L61" s="404"/>
      <c r="M61" s="405"/>
      <c r="N61" s="405"/>
      <c r="O61" s="405"/>
      <c r="P61" s="405"/>
      <c r="Q61" s="405"/>
      <c r="R61" s="406" t="s">
        <v>596</v>
      </c>
      <c r="S61" s="192"/>
    </row>
    <row r="62" spans="1:19">
      <c r="A62" s="220"/>
      <c r="B62" s="592" t="s">
        <v>325</v>
      </c>
      <c r="C62" s="592"/>
      <c r="D62" s="592" t="s">
        <v>334</v>
      </c>
      <c r="E62" s="592"/>
      <c r="F62" s="636" t="s">
        <v>335</v>
      </c>
      <c r="G62" s="636"/>
      <c r="H62" s="592"/>
      <c r="I62" s="262" t="s">
        <v>336</v>
      </c>
      <c r="J62" s="592" t="s">
        <v>337</v>
      </c>
      <c r="K62" s="593"/>
      <c r="L62" s="407"/>
      <c r="M62" s="408"/>
      <c r="N62" s="408"/>
      <c r="O62" s="408"/>
      <c r="P62" s="408"/>
      <c r="Q62" s="408"/>
      <c r="R62" s="409" t="s">
        <v>597</v>
      </c>
      <c r="S62" s="192"/>
    </row>
    <row r="63" spans="1:19" ht="19.5" thickBot="1">
      <c r="A63" s="220"/>
      <c r="B63" s="646" t="s">
        <v>269</v>
      </c>
      <c r="C63" s="646"/>
      <c r="D63" s="625" t="s">
        <v>338</v>
      </c>
      <c r="E63" s="626"/>
      <c r="F63" s="626" t="s">
        <v>355</v>
      </c>
      <c r="G63" s="626"/>
      <c r="H63" s="626"/>
      <c r="I63" s="241" t="s">
        <v>356</v>
      </c>
      <c r="J63" s="626" t="s">
        <v>226</v>
      </c>
      <c r="K63" s="647"/>
      <c r="L63" s="407"/>
      <c r="M63" s="408"/>
      <c r="N63" s="408"/>
      <c r="O63" s="408"/>
      <c r="P63" s="408"/>
      <c r="Q63" s="408"/>
      <c r="R63" s="409" t="s">
        <v>599</v>
      </c>
      <c r="S63" s="192"/>
    </row>
    <row r="64" spans="1:19" ht="16.5" thickBot="1">
      <c r="A64" s="220"/>
      <c r="B64" s="642" t="s">
        <v>326</v>
      </c>
      <c r="C64" s="643"/>
      <c r="D64" s="598" t="s">
        <v>342</v>
      </c>
      <c r="E64" s="598"/>
      <c r="F64" s="598" t="s">
        <v>341</v>
      </c>
      <c r="G64" s="598"/>
      <c r="H64" s="598"/>
      <c r="I64" s="358" t="s">
        <v>339</v>
      </c>
      <c r="J64" s="594" t="s">
        <v>340</v>
      </c>
      <c r="K64" s="595"/>
      <c r="L64" s="407"/>
      <c r="M64" s="408"/>
      <c r="N64" s="408"/>
      <c r="O64" s="408"/>
      <c r="P64" s="408"/>
      <c r="Q64" s="408"/>
      <c r="R64" s="409" t="s">
        <v>598</v>
      </c>
      <c r="S64" s="192"/>
    </row>
    <row r="65" spans="1:19" ht="16.5" thickBot="1">
      <c r="A65" s="220"/>
      <c r="B65" s="644" t="s">
        <v>333</v>
      </c>
      <c r="C65" s="644"/>
      <c r="D65" s="596" t="s">
        <v>343</v>
      </c>
      <c r="E65" s="596"/>
      <c r="F65" s="596" t="s">
        <v>344</v>
      </c>
      <c r="G65" s="596"/>
      <c r="H65" s="596"/>
      <c r="I65" s="304">
        <v>2.5</v>
      </c>
      <c r="J65" s="596" t="s">
        <v>345</v>
      </c>
      <c r="K65" s="597"/>
      <c r="L65" s="410"/>
      <c r="M65" s="411"/>
      <c r="N65" s="411"/>
      <c r="O65" s="411"/>
      <c r="P65" s="411"/>
      <c r="Q65" s="411"/>
      <c r="R65" s="412" t="s">
        <v>600</v>
      </c>
      <c r="S65" s="192"/>
    </row>
    <row r="66" spans="1:19" ht="16.5" thickBot="1">
      <c r="A66" s="220"/>
      <c r="B66" s="642" t="s">
        <v>328</v>
      </c>
      <c r="C66" s="643"/>
      <c r="D66" s="598" t="s">
        <v>346</v>
      </c>
      <c r="E66" s="598"/>
      <c r="F66" s="598" t="s">
        <v>347</v>
      </c>
      <c r="G66" s="598"/>
      <c r="H66" s="598"/>
      <c r="I66" s="358">
        <v>2</v>
      </c>
      <c r="J66" s="598" t="s">
        <v>348</v>
      </c>
      <c r="K66" s="599"/>
      <c r="S66" s="192"/>
    </row>
    <row r="67" spans="1:19">
      <c r="A67" s="220"/>
      <c r="B67" s="645" t="s">
        <v>309</v>
      </c>
      <c r="C67" s="645"/>
      <c r="D67" s="613" t="s">
        <v>349</v>
      </c>
      <c r="E67" s="613"/>
      <c r="F67" s="613" t="s">
        <v>350</v>
      </c>
      <c r="G67" s="613"/>
      <c r="H67" s="613"/>
      <c r="I67" s="243">
        <v>1.5</v>
      </c>
      <c r="J67" s="613" t="s">
        <v>351</v>
      </c>
      <c r="K67" s="613"/>
      <c r="S67" s="192"/>
    </row>
    <row r="68" spans="1:19">
      <c r="A68" s="220"/>
      <c r="B68" s="624" t="s">
        <v>352</v>
      </c>
      <c r="C68" s="624"/>
      <c r="D68" s="315">
        <v>180</v>
      </c>
      <c r="E68" s="246"/>
      <c r="F68" s="221">
        <v>500</v>
      </c>
      <c r="G68" s="246"/>
      <c r="H68" s="246"/>
      <c r="I68" s="221">
        <v>2</v>
      </c>
      <c r="J68" s="221">
        <v>0.55000000000000004</v>
      </c>
      <c r="K68" s="232"/>
      <c r="S68" s="192"/>
    </row>
    <row r="69" spans="1:19">
      <c r="A69" s="220"/>
      <c r="B69" s="624" t="s">
        <v>353</v>
      </c>
      <c r="C69" s="624"/>
      <c r="D69" s="221">
        <v>150</v>
      </c>
      <c r="E69" s="246"/>
      <c r="F69" s="221">
        <v>125</v>
      </c>
      <c r="G69" s="246"/>
      <c r="H69" s="246"/>
      <c r="I69" s="221">
        <v>3</v>
      </c>
      <c r="J69" s="342" t="s">
        <v>270</v>
      </c>
      <c r="K69" s="232"/>
      <c r="S69" s="192"/>
    </row>
    <row r="70" spans="1:19">
      <c r="A70" s="192"/>
      <c r="B70" s="20"/>
      <c r="C70" s="20"/>
      <c r="D70" s="20"/>
      <c r="E70" s="20"/>
      <c r="F70" s="20"/>
      <c r="G70" s="20"/>
      <c r="H70" s="20"/>
      <c r="I70" s="20"/>
      <c r="J70" s="20"/>
      <c r="K70" s="20"/>
      <c r="S70" s="192"/>
    </row>
    <row r="71" spans="1:19">
      <c r="A71" s="192"/>
      <c r="B71" s="20"/>
      <c r="C71" s="20"/>
      <c r="D71" s="20"/>
      <c r="E71" s="20"/>
      <c r="F71" s="20"/>
      <c r="G71" s="20"/>
      <c r="H71" s="20"/>
      <c r="I71" s="20"/>
      <c r="J71" s="20"/>
      <c r="K71" s="20"/>
      <c r="S71" s="192"/>
    </row>
    <row r="72" spans="1:19" ht="16.5" thickBot="1">
      <c r="A72" s="192"/>
      <c r="B72" s="20"/>
      <c r="C72" s="20"/>
      <c r="D72" s="20"/>
      <c r="E72" s="20"/>
      <c r="F72" s="20"/>
      <c r="G72" s="20"/>
      <c r="H72" s="20"/>
      <c r="I72" s="20"/>
      <c r="J72" s="20"/>
      <c r="K72" s="20"/>
      <c r="S72" s="192"/>
    </row>
    <row r="73" spans="1:19" ht="16.5" thickBot="1">
      <c r="A73" s="192"/>
      <c r="E73" s="419" t="s">
        <v>373</v>
      </c>
      <c r="F73" s="421"/>
      <c r="N73" s="419" t="s">
        <v>382</v>
      </c>
      <c r="O73" s="421"/>
      <c r="S73" s="192"/>
    </row>
    <row r="74" spans="1:19">
      <c r="A74" s="220"/>
      <c r="B74" s="262"/>
      <c r="C74" s="592" t="s">
        <v>514</v>
      </c>
      <c r="D74" s="592"/>
      <c r="E74" s="636"/>
      <c r="F74" s="636"/>
      <c r="G74" s="592"/>
      <c r="H74" s="592"/>
      <c r="I74" s="592"/>
      <c r="J74" s="592"/>
      <c r="L74" s="592" t="s">
        <v>375</v>
      </c>
      <c r="M74" s="592"/>
      <c r="N74" s="636"/>
      <c r="O74" s="636"/>
      <c r="P74" s="592"/>
      <c r="Q74" s="592"/>
      <c r="S74" s="192"/>
    </row>
    <row r="75" spans="1:19" ht="16.5" thickBot="1">
      <c r="A75" s="220"/>
      <c r="B75" s="223" t="s">
        <v>363</v>
      </c>
      <c r="C75" s="223" t="s">
        <v>364</v>
      </c>
      <c r="D75" s="223" t="s">
        <v>365</v>
      </c>
      <c r="E75" s="241" t="s">
        <v>366</v>
      </c>
      <c r="F75" s="223" t="s">
        <v>367</v>
      </c>
      <c r="G75" s="223" t="s">
        <v>368</v>
      </c>
      <c r="H75" s="223" t="s">
        <v>369</v>
      </c>
      <c r="I75" s="223" t="s">
        <v>370</v>
      </c>
      <c r="J75" s="223" t="s">
        <v>371</v>
      </c>
      <c r="L75" s="626" t="s">
        <v>379</v>
      </c>
      <c r="M75" s="626"/>
      <c r="N75" s="648" t="s">
        <v>380</v>
      </c>
      <c r="O75" s="648"/>
      <c r="P75" s="626" t="s">
        <v>381</v>
      </c>
      <c r="Q75" s="626"/>
      <c r="S75" s="192"/>
    </row>
    <row r="76" spans="1:19" ht="16.5" thickBot="1">
      <c r="A76" s="220"/>
      <c r="B76" s="223" t="s">
        <v>372</v>
      </c>
      <c r="C76" s="223">
        <v>115</v>
      </c>
      <c r="D76" s="247">
        <v>170</v>
      </c>
      <c r="E76" s="105">
        <v>200</v>
      </c>
      <c r="F76" s="316">
        <v>225</v>
      </c>
      <c r="G76" s="223">
        <v>280</v>
      </c>
      <c r="H76" s="223">
        <v>340</v>
      </c>
      <c r="I76" s="223">
        <v>390</v>
      </c>
      <c r="J76" s="223">
        <v>450</v>
      </c>
      <c r="L76" s="611" t="s">
        <v>259</v>
      </c>
      <c r="M76" s="594"/>
      <c r="N76" s="594">
        <v>2100</v>
      </c>
      <c r="O76" s="594"/>
      <c r="P76" s="594">
        <v>2100000</v>
      </c>
      <c r="Q76" s="601"/>
      <c r="S76" s="192"/>
    </row>
    <row r="77" spans="1:19" ht="16.5" thickBot="1">
      <c r="A77" s="192"/>
      <c r="E77" s="229" t="s">
        <v>374</v>
      </c>
      <c r="F77" s="317">
        <v>200</v>
      </c>
      <c r="L77" s="600" t="s">
        <v>376</v>
      </c>
      <c r="M77" s="600"/>
      <c r="N77" s="600">
        <v>3000</v>
      </c>
      <c r="O77" s="600"/>
      <c r="P77" s="600">
        <v>2100000</v>
      </c>
      <c r="Q77" s="600"/>
      <c r="S77" s="192"/>
    </row>
    <row r="78" spans="1:19" ht="16.5" thickBot="1">
      <c r="A78" s="192"/>
      <c r="L78" s="654" t="s">
        <v>377</v>
      </c>
      <c r="M78" s="654"/>
      <c r="N78" s="654">
        <v>4000</v>
      </c>
      <c r="O78" s="654"/>
      <c r="P78" s="626">
        <v>2100000</v>
      </c>
      <c r="Q78" s="654"/>
      <c r="S78" s="192"/>
    </row>
    <row r="79" spans="1:19" ht="16.5" thickBot="1">
      <c r="A79" s="192"/>
      <c r="N79" s="230" t="s">
        <v>384</v>
      </c>
      <c r="O79" s="221">
        <v>3000</v>
      </c>
      <c r="P79" s="231" t="s">
        <v>383</v>
      </c>
      <c r="Q79" s="221">
        <v>2100000</v>
      </c>
      <c r="S79" s="192"/>
    </row>
    <row r="80" spans="1:19">
      <c r="A80" s="192"/>
      <c r="S80" s="192"/>
    </row>
    <row r="81" spans="1:19">
      <c r="A81" s="192"/>
      <c r="S81" s="192"/>
    </row>
    <row r="82" spans="1:19">
      <c r="A82" s="192"/>
      <c r="S82" s="192"/>
    </row>
    <row r="83" spans="1:19">
      <c r="A83" s="192"/>
      <c r="N83" s="649" t="s">
        <v>385</v>
      </c>
      <c r="O83" s="649"/>
      <c r="P83" s="649"/>
      <c r="Q83" s="649"/>
      <c r="R83" s="233" t="s">
        <v>378</v>
      </c>
      <c r="S83" s="210"/>
    </row>
    <row r="84" spans="1:19">
      <c r="A84" s="192"/>
      <c r="I84" t="s">
        <v>578</v>
      </c>
      <c r="J84" s="662" t="s">
        <v>552</v>
      </c>
      <c r="K84" s="663"/>
      <c r="L84" s="344" t="s">
        <v>551</v>
      </c>
      <c r="M84" s="344">
        <f>2.5*((2*(R89+Q89)*H89)+J89*Q89*R89+F89*Q89*R89)*1.1</f>
        <v>492.25000000000006</v>
      </c>
      <c r="S84" s="192"/>
    </row>
    <row r="85" spans="1:19">
      <c r="A85" s="192"/>
      <c r="S85" s="192"/>
    </row>
    <row r="86" spans="1:19">
      <c r="A86" s="192"/>
      <c r="O86" s="650" t="s">
        <v>386</v>
      </c>
      <c r="P86" s="650"/>
      <c r="S86" s="192"/>
    </row>
    <row r="87" spans="1:19">
      <c r="A87" s="220"/>
      <c r="B87" s="327" t="s">
        <v>538</v>
      </c>
      <c r="C87" s="653" t="s">
        <v>405</v>
      </c>
      <c r="D87" s="653"/>
      <c r="E87" s="651" t="s">
        <v>393</v>
      </c>
      <c r="F87" s="652"/>
      <c r="G87" s="653" t="s">
        <v>392</v>
      </c>
      <c r="H87" s="653"/>
      <c r="I87" s="653" t="s">
        <v>391</v>
      </c>
      <c r="J87" s="653"/>
      <c r="K87" s="653" t="s">
        <v>390</v>
      </c>
      <c r="L87" s="653"/>
      <c r="M87" s="651" t="s">
        <v>389</v>
      </c>
      <c r="N87" s="652"/>
      <c r="O87" s="651" t="s">
        <v>601</v>
      </c>
      <c r="P87" s="652"/>
      <c r="Q87" s="224" t="s">
        <v>388</v>
      </c>
      <c r="R87" s="224" t="s">
        <v>387</v>
      </c>
      <c r="S87" s="210"/>
    </row>
    <row r="88" spans="1:19" ht="18.75">
      <c r="A88" s="192"/>
      <c r="B88" s="20" t="s">
        <v>539</v>
      </c>
      <c r="C88" s="654" t="s">
        <v>406</v>
      </c>
      <c r="D88" s="654"/>
      <c r="E88" s="651" t="s">
        <v>400</v>
      </c>
      <c r="F88" s="652"/>
      <c r="G88" s="651" t="s">
        <v>399</v>
      </c>
      <c r="H88" s="652"/>
      <c r="I88" s="651" t="s">
        <v>398</v>
      </c>
      <c r="J88" s="652"/>
      <c r="K88" s="651" t="s">
        <v>397</v>
      </c>
      <c r="L88" s="652"/>
      <c r="M88" s="651" t="s">
        <v>466</v>
      </c>
      <c r="N88" s="652"/>
      <c r="O88" s="651" t="s">
        <v>396</v>
      </c>
      <c r="P88" s="652"/>
      <c r="Q88" s="224" t="s">
        <v>395</v>
      </c>
      <c r="R88" s="224" t="s">
        <v>394</v>
      </c>
      <c r="S88" s="210"/>
    </row>
    <row r="89" spans="1:19">
      <c r="A89" s="220"/>
      <c r="B89" s="346">
        <v>0.5</v>
      </c>
      <c r="C89" s="234"/>
      <c r="D89" s="221">
        <v>1.2E-2</v>
      </c>
      <c r="E89" s="234"/>
      <c r="F89" s="221">
        <v>0.45</v>
      </c>
      <c r="G89" s="234"/>
      <c r="H89" s="221">
        <v>0.5</v>
      </c>
      <c r="I89" s="234"/>
      <c r="J89" s="221">
        <v>0.75</v>
      </c>
      <c r="K89" s="234"/>
      <c r="L89" s="221">
        <v>3</v>
      </c>
      <c r="M89" s="246"/>
      <c r="N89" s="221">
        <v>5</v>
      </c>
      <c r="O89" s="246"/>
      <c r="P89" s="221">
        <v>4</v>
      </c>
      <c r="Q89" s="221">
        <v>10</v>
      </c>
      <c r="R89" s="221">
        <v>13</v>
      </c>
      <c r="S89" s="210"/>
    </row>
    <row r="90" spans="1:19">
      <c r="A90" s="192"/>
      <c r="B90" s="413"/>
      <c r="C90" s="413"/>
      <c r="D90" s="413"/>
      <c r="E90" s="413"/>
      <c r="F90" s="413"/>
      <c r="G90" s="413"/>
      <c r="H90" s="413"/>
      <c r="I90" s="413"/>
      <c r="J90" s="413"/>
      <c r="K90" s="413"/>
      <c r="L90" s="413"/>
      <c r="M90" s="413"/>
      <c r="N90" s="413"/>
      <c r="O90" s="413"/>
      <c r="P90" s="413"/>
      <c r="Q90" s="413"/>
      <c r="R90" s="414" t="s">
        <v>401</v>
      </c>
      <c r="S90" s="192"/>
    </row>
    <row r="91" spans="1:19">
      <c r="A91" s="192"/>
      <c r="B91" s="413"/>
      <c r="C91" s="413"/>
      <c r="D91" s="413"/>
      <c r="E91" s="413"/>
      <c r="F91" s="413"/>
      <c r="G91" s="413"/>
      <c r="H91" s="413"/>
      <c r="I91" s="413"/>
      <c r="J91" s="413"/>
      <c r="K91" s="413"/>
      <c r="L91" s="413"/>
      <c r="M91" s="413"/>
      <c r="N91" s="413"/>
      <c r="O91" s="413"/>
      <c r="P91" s="413"/>
      <c r="Q91" s="413"/>
      <c r="R91" s="414" t="s">
        <v>402</v>
      </c>
      <c r="S91" s="192"/>
    </row>
    <row r="92" spans="1:19">
      <c r="A92" s="192"/>
      <c r="G92" s="423" t="s">
        <v>403</v>
      </c>
      <c r="H92" s="423"/>
      <c r="I92" s="423"/>
      <c r="N92" s="649" t="s">
        <v>583</v>
      </c>
      <c r="O92" s="649"/>
      <c r="P92" s="649"/>
      <c r="Q92" s="649"/>
      <c r="R92" s="649"/>
      <c r="S92" s="210"/>
    </row>
    <row r="93" spans="1:19">
      <c r="A93" s="192"/>
      <c r="E93" s="660" t="s">
        <v>604</v>
      </c>
      <c r="F93" s="661"/>
      <c r="G93" s="660" t="s">
        <v>603</v>
      </c>
      <c r="H93" s="661"/>
      <c r="I93" s="660" t="s">
        <v>398</v>
      </c>
      <c r="J93" s="661"/>
      <c r="M93" s="368"/>
      <c r="N93" s="679" t="s">
        <v>581</v>
      </c>
      <c r="O93" s="679"/>
      <c r="P93" s="369" t="s">
        <v>580</v>
      </c>
      <c r="Q93" s="369" t="s">
        <v>579</v>
      </c>
      <c r="R93" s="369" t="s">
        <v>582</v>
      </c>
      <c r="S93" s="210"/>
    </row>
    <row r="94" spans="1:19">
      <c r="A94" s="192"/>
      <c r="E94" s="565">
        <f>F250/100</f>
        <v>0.42349022613421156</v>
      </c>
      <c r="F94" s="565"/>
      <c r="G94" s="662">
        <f>F249/100</f>
        <v>0.49822379545201367</v>
      </c>
      <c r="H94" s="663"/>
      <c r="I94" s="565">
        <f>F248/100</f>
        <v>0.70459484862523636</v>
      </c>
      <c r="J94" s="565"/>
      <c r="N94" s="680">
        <v>1500</v>
      </c>
      <c r="O94" s="680"/>
      <c r="P94" s="370">
        <v>1700</v>
      </c>
      <c r="Q94" s="370">
        <v>1500</v>
      </c>
      <c r="R94" s="370">
        <v>2500</v>
      </c>
      <c r="S94" s="210"/>
    </row>
    <row r="95" spans="1:19">
      <c r="A95" s="192"/>
      <c r="N95" s="681"/>
      <c r="O95" s="681"/>
      <c r="P95" s="172"/>
      <c r="Q95" s="172"/>
      <c r="R95" s="172"/>
      <c r="S95" s="210"/>
    </row>
    <row r="96" spans="1:19">
      <c r="A96" s="192"/>
      <c r="B96" s="244"/>
      <c r="C96" s="244"/>
      <c r="D96" s="244"/>
      <c r="E96" s="244"/>
      <c r="F96" s="244"/>
      <c r="G96" s="244"/>
      <c r="H96" s="244"/>
      <c r="I96" s="244"/>
      <c r="J96" s="244"/>
      <c r="K96" s="244"/>
      <c r="L96" s="244"/>
      <c r="M96" s="244"/>
      <c r="N96" s="244"/>
      <c r="O96" s="244"/>
      <c r="P96" s="244"/>
      <c r="Q96" s="244"/>
      <c r="R96" s="244"/>
      <c r="S96" s="192"/>
    </row>
    <row r="97" spans="1:19">
      <c r="A97" s="192"/>
      <c r="B97" s="225"/>
      <c r="C97" s="225"/>
      <c r="D97" s="225"/>
      <c r="E97" s="225"/>
      <c r="F97" s="225"/>
      <c r="G97" s="225"/>
      <c r="H97" s="225"/>
      <c r="I97" s="225"/>
      <c r="J97" s="225"/>
      <c r="K97" s="225"/>
      <c r="L97" s="225"/>
      <c r="M97" s="225"/>
      <c r="N97" s="225"/>
      <c r="O97" s="225"/>
      <c r="P97" s="225"/>
      <c r="Q97" s="249" t="s">
        <v>407</v>
      </c>
      <c r="R97" s="233" t="s">
        <v>404</v>
      </c>
      <c r="S97" s="210"/>
    </row>
    <row r="98" spans="1:19">
      <c r="A98" s="192"/>
      <c r="S98" s="192"/>
    </row>
    <row r="99" spans="1:19">
      <c r="A99" s="192"/>
      <c r="Q99" s="248" t="s">
        <v>413</v>
      </c>
      <c r="R99" s="233" t="s">
        <v>408</v>
      </c>
      <c r="S99" s="210"/>
    </row>
    <row r="100" spans="1:19">
      <c r="A100" s="192"/>
      <c r="S100" s="192"/>
    </row>
    <row r="101" spans="1:19">
      <c r="A101" s="192"/>
      <c r="E101" s="565" t="s">
        <v>409</v>
      </c>
      <c r="F101" s="565"/>
      <c r="S101" s="192"/>
    </row>
    <row r="102" spans="1:19" ht="16.5" thickBot="1">
      <c r="A102" s="192"/>
      <c r="C102" s="664">
        <v>1</v>
      </c>
      <c r="D102" s="664"/>
      <c r="E102" s="334" t="s">
        <v>410</v>
      </c>
      <c r="F102" s="335" t="s">
        <v>411</v>
      </c>
      <c r="G102" s="251"/>
      <c r="H102" s="252" t="s">
        <v>412</v>
      </c>
      <c r="I102" s="250">
        <f>Sheet1!Q87</f>
        <v>0.11803864439673714</v>
      </c>
      <c r="J102" s="565" t="s">
        <v>224</v>
      </c>
      <c r="K102" s="565"/>
      <c r="S102" s="192"/>
    </row>
    <row r="103" spans="1:19" ht="16.5" thickBot="1">
      <c r="A103" s="192"/>
      <c r="C103" s="642" t="s">
        <v>326</v>
      </c>
      <c r="D103" s="643"/>
      <c r="E103" s="299" t="s">
        <v>429</v>
      </c>
      <c r="F103" s="300">
        <v>0.35</v>
      </c>
      <c r="G103" s="333"/>
      <c r="S103" s="192"/>
    </row>
    <row r="104" spans="1:19" ht="16.5" thickBot="1">
      <c r="A104" s="192"/>
      <c r="C104" s="644" t="s">
        <v>333</v>
      </c>
      <c r="D104" s="644"/>
      <c r="E104" s="304" t="s">
        <v>430</v>
      </c>
      <c r="F104" s="304">
        <v>0.5</v>
      </c>
      <c r="G104" s="251"/>
      <c r="H104" s="252" t="s">
        <v>412</v>
      </c>
      <c r="I104" s="250">
        <f>Sheet1!Q227</f>
        <v>0.49663737474469005</v>
      </c>
      <c r="J104" s="565" t="s">
        <v>225</v>
      </c>
      <c r="K104" s="565"/>
      <c r="S104" s="192"/>
    </row>
    <row r="105" spans="1:19" ht="16.5" thickBot="1">
      <c r="A105" s="192"/>
      <c r="C105" s="642" t="s">
        <v>328</v>
      </c>
      <c r="D105" s="643"/>
      <c r="E105" s="299" t="s">
        <v>431</v>
      </c>
      <c r="F105" s="300">
        <v>0.55000000000000004</v>
      </c>
      <c r="G105" s="333"/>
      <c r="S105" s="192"/>
    </row>
    <row r="106" spans="1:19">
      <c r="A106" s="192"/>
      <c r="C106" s="645" t="s">
        <v>309</v>
      </c>
      <c r="D106" s="645"/>
      <c r="E106" s="243" t="s">
        <v>432</v>
      </c>
      <c r="F106" s="243">
        <v>0.65</v>
      </c>
      <c r="G106" s="251"/>
      <c r="S106" s="192"/>
    </row>
    <row r="107" spans="1:19">
      <c r="A107" s="192"/>
      <c r="C107" s="251"/>
      <c r="D107" s="251"/>
      <c r="E107" s="251"/>
      <c r="F107" s="251"/>
      <c r="G107" s="251"/>
      <c r="S107" s="192"/>
    </row>
    <row r="108" spans="1:19">
      <c r="A108" s="192"/>
      <c r="C108" s="251"/>
      <c r="D108" s="251"/>
      <c r="E108" s="251"/>
      <c r="F108" s="251"/>
      <c r="G108" s="251"/>
      <c r="S108" s="192"/>
    </row>
    <row r="109" spans="1:19">
      <c r="A109" s="192"/>
      <c r="D109" s="221" t="s">
        <v>224</v>
      </c>
      <c r="E109" s="198" t="s">
        <v>414</v>
      </c>
      <c r="F109" s="221">
        <v>0.35</v>
      </c>
      <c r="S109" s="192"/>
    </row>
    <row r="110" spans="1:19">
      <c r="A110" s="192"/>
      <c r="D110" s="221" t="s">
        <v>225</v>
      </c>
      <c r="E110" s="198" t="s">
        <v>414</v>
      </c>
      <c r="F110" s="221">
        <v>0.9</v>
      </c>
      <c r="S110" s="192"/>
    </row>
    <row r="111" spans="1:19">
      <c r="A111" s="192"/>
      <c r="B111" s="97"/>
      <c r="C111" s="97"/>
      <c r="D111" s="97"/>
      <c r="E111" s="97"/>
      <c r="F111" s="97"/>
      <c r="G111" s="97"/>
      <c r="H111" s="97"/>
      <c r="I111" s="97"/>
      <c r="J111" s="97"/>
      <c r="K111" s="97"/>
      <c r="L111" s="97"/>
      <c r="M111" s="97"/>
      <c r="N111" s="97"/>
      <c r="O111" s="97"/>
      <c r="P111" s="97"/>
      <c r="Q111" s="97"/>
      <c r="R111" s="97"/>
      <c r="S111" s="192"/>
    </row>
    <row r="112" spans="1:19">
      <c r="A112" s="220"/>
      <c r="B112" s="254" t="s">
        <v>224</v>
      </c>
      <c r="C112" s="253" t="s">
        <v>412</v>
      </c>
      <c r="D112" s="254">
        <f>I102</f>
        <v>0.11803864439673714</v>
      </c>
      <c r="Q112" s="81" t="s">
        <v>417</v>
      </c>
      <c r="R112" s="233" t="s">
        <v>415</v>
      </c>
      <c r="S112" s="210"/>
    </row>
    <row r="113" spans="1:19">
      <c r="A113" s="220"/>
      <c r="B113" s="254" t="s">
        <v>225</v>
      </c>
      <c r="C113" s="253" t="s">
        <v>412</v>
      </c>
      <c r="D113" s="254">
        <f>I104</f>
        <v>0.49663737474469005</v>
      </c>
      <c r="I113" s="254" t="s">
        <v>224</v>
      </c>
      <c r="J113" s="253" t="s">
        <v>412</v>
      </c>
      <c r="K113" s="254">
        <f>I102</f>
        <v>0.11803864439673714</v>
      </c>
      <c r="S113" s="192"/>
    </row>
    <row r="114" spans="1:19">
      <c r="A114" s="220"/>
      <c r="B114" s="226" t="s">
        <v>418</v>
      </c>
      <c r="C114" s="226" t="s">
        <v>419</v>
      </c>
      <c r="D114" s="226" t="s">
        <v>421</v>
      </c>
      <c r="E114" s="226" t="s">
        <v>422</v>
      </c>
      <c r="I114" s="254" t="s">
        <v>225</v>
      </c>
      <c r="J114" s="253" t="s">
        <v>412</v>
      </c>
      <c r="K114" s="254">
        <f>I104</f>
        <v>0.49663737474469005</v>
      </c>
      <c r="S114" s="192"/>
    </row>
    <row r="115" spans="1:19">
      <c r="A115" s="220"/>
      <c r="B115" s="226" t="s">
        <v>420</v>
      </c>
      <c r="C115" s="226">
        <v>1</v>
      </c>
      <c r="D115" s="226" t="s">
        <v>423</v>
      </c>
      <c r="E115" s="226" t="s">
        <v>424</v>
      </c>
      <c r="I115" s="666" t="s">
        <v>325</v>
      </c>
      <c r="J115" s="666"/>
      <c r="K115" s="665" t="s">
        <v>427</v>
      </c>
      <c r="L115" s="665"/>
      <c r="M115" s="665"/>
      <c r="N115" s="666" t="s">
        <v>426</v>
      </c>
      <c r="S115" s="192"/>
    </row>
    <row r="116" spans="1:19">
      <c r="A116" s="220"/>
      <c r="B116" s="198" t="s">
        <v>425</v>
      </c>
      <c r="C116" s="221">
        <v>1</v>
      </c>
      <c r="D116" s="221" t="s">
        <v>224</v>
      </c>
      <c r="I116" s="666"/>
      <c r="J116" s="666"/>
      <c r="K116" s="263" t="s">
        <v>419</v>
      </c>
      <c r="L116" s="263" t="s">
        <v>421</v>
      </c>
      <c r="M116" s="263" t="s">
        <v>428</v>
      </c>
      <c r="N116" s="666"/>
      <c r="S116" s="192"/>
    </row>
    <row r="117" spans="1:19">
      <c r="A117" s="220"/>
      <c r="B117" s="198" t="s">
        <v>425</v>
      </c>
      <c r="C117" s="221">
        <v>1.1000000000000001</v>
      </c>
      <c r="D117" s="221" t="s">
        <v>225</v>
      </c>
      <c r="I117" s="653" t="s">
        <v>326</v>
      </c>
      <c r="J117" s="653"/>
      <c r="K117" s="256">
        <v>2.5000000000000001E-2</v>
      </c>
      <c r="L117" s="256">
        <v>0.03</v>
      </c>
      <c r="M117" s="256">
        <v>0.04</v>
      </c>
      <c r="N117" s="256">
        <v>1.4999999999999999E-2</v>
      </c>
      <c r="S117" s="192"/>
    </row>
    <row r="118" spans="1:19">
      <c r="A118" s="192"/>
      <c r="I118" s="653" t="s">
        <v>333</v>
      </c>
      <c r="J118" s="653"/>
      <c r="K118" s="256">
        <v>0.01</v>
      </c>
      <c r="L118" s="256">
        <v>1.4E-2</v>
      </c>
      <c r="M118" s="256">
        <v>1.7999999999999999E-2</v>
      </c>
      <c r="N118" s="256">
        <v>8.5000000000000006E-3</v>
      </c>
      <c r="S118" s="192"/>
    </row>
    <row r="119" spans="1:19">
      <c r="A119" s="192"/>
      <c r="I119" s="653" t="s">
        <v>328</v>
      </c>
      <c r="J119" s="653"/>
      <c r="K119" s="256">
        <v>6.0000000000000001E-3</v>
      </c>
      <c r="L119" s="256">
        <v>8.0000000000000002E-3</v>
      </c>
      <c r="M119" s="256">
        <v>0.01</v>
      </c>
      <c r="N119" s="256">
        <v>1E-3</v>
      </c>
      <c r="S119" s="192"/>
    </row>
    <row r="120" spans="1:19">
      <c r="A120" s="192"/>
      <c r="I120" s="653" t="s">
        <v>309</v>
      </c>
      <c r="J120" s="653"/>
      <c r="K120" s="256">
        <v>3.0000000000000001E-3</v>
      </c>
      <c r="L120" s="256">
        <v>5.0000000000000001E-3</v>
      </c>
      <c r="M120" s="256">
        <v>6.0000000000000001E-3</v>
      </c>
      <c r="N120" s="256">
        <v>8.0000000000000002E-3</v>
      </c>
      <c r="S120" s="192"/>
    </row>
    <row r="121" spans="1:19">
      <c r="A121" s="192"/>
      <c r="H121" s="198" t="s">
        <v>433</v>
      </c>
      <c r="I121" s="221">
        <v>2.5000000000000001E-2</v>
      </c>
      <c r="J121" s="221" t="s">
        <v>224</v>
      </c>
      <c r="K121" s="57"/>
      <c r="L121" s="198" t="s">
        <v>434</v>
      </c>
      <c r="M121" s="221">
        <v>1.4999999999999999E-2</v>
      </c>
      <c r="N121" s="221" t="s">
        <v>224</v>
      </c>
      <c r="S121" s="192"/>
    </row>
    <row r="122" spans="1:19">
      <c r="A122" s="192"/>
      <c r="H122" s="198" t="s">
        <v>433</v>
      </c>
      <c r="I122" s="221">
        <v>8.9999999999999993E-3</v>
      </c>
      <c r="J122" s="221" t="s">
        <v>225</v>
      </c>
      <c r="L122" s="198" t="s">
        <v>434</v>
      </c>
      <c r="M122" s="221">
        <v>1E-3</v>
      </c>
      <c r="N122" s="221" t="s">
        <v>225</v>
      </c>
      <c r="S122" s="192"/>
    </row>
    <row r="123" spans="1:19">
      <c r="A123" s="192"/>
      <c r="S123" s="192"/>
    </row>
    <row r="124" spans="1:19">
      <c r="A124" s="192"/>
      <c r="B124" s="96"/>
      <c r="C124" s="96"/>
      <c r="D124" s="96"/>
      <c r="E124" s="96"/>
      <c r="F124" s="96"/>
      <c r="G124" s="96"/>
      <c r="H124" s="96"/>
      <c r="I124" s="96"/>
      <c r="J124" s="96"/>
      <c r="K124" s="96"/>
      <c r="L124" s="96"/>
      <c r="M124" s="96"/>
      <c r="N124" s="96"/>
      <c r="O124" s="96"/>
      <c r="P124" s="96"/>
      <c r="Q124" s="96"/>
      <c r="R124" s="96"/>
      <c r="S124" s="192"/>
    </row>
    <row r="125" spans="1:19" ht="18.75">
      <c r="A125" s="192"/>
      <c r="Q125" s="79" t="s">
        <v>467</v>
      </c>
      <c r="R125" s="257" t="s">
        <v>435</v>
      </c>
      <c r="S125" s="192"/>
    </row>
    <row r="126" spans="1:19">
      <c r="A126" s="192"/>
      <c r="Q126" s="248" t="s">
        <v>436</v>
      </c>
      <c r="S126" s="192"/>
    </row>
    <row r="127" spans="1:19">
      <c r="A127" s="192"/>
      <c r="S127" s="192"/>
    </row>
    <row r="128" spans="1:19" ht="18.75">
      <c r="A128" s="192"/>
      <c r="I128" s="565" t="s">
        <v>468</v>
      </c>
      <c r="J128" s="565"/>
      <c r="K128" s="415">
        <f>F69</f>
        <v>125</v>
      </c>
      <c r="L128" t="s">
        <v>125</v>
      </c>
      <c r="S128" s="192"/>
    </row>
    <row r="129" spans="1:19">
      <c r="A129" s="192"/>
      <c r="I129" s="565" t="s">
        <v>437</v>
      </c>
      <c r="J129" s="565"/>
      <c r="K129" s="415">
        <f>Sheet1!O141</f>
        <v>5.4042156903496545</v>
      </c>
      <c r="L129" t="s">
        <v>42</v>
      </c>
      <c r="S129" s="192"/>
    </row>
    <row r="130" spans="1:19">
      <c r="A130" s="192"/>
      <c r="I130" s="81"/>
      <c r="J130" s="81"/>
      <c r="K130" s="416"/>
      <c r="S130" s="192"/>
    </row>
    <row r="131" spans="1:19" ht="18.75">
      <c r="A131" s="192"/>
      <c r="I131" s="565" t="s">
        <v>469</v>
      </c>
      <c r="J131" s="565"/>
      <c r="K131" s="415">
        <f>F68</f>
        <v>500</v>
      </c>
      <c r="L131" t="s">
        <v>125</v>
      </c>
      <c r="S131" s="192"/>
    </row>
    <row r="132" spans="1:19">
      <c r="A132" s="192"/>
      <c r="I132" s="565" t="s">
        <v>438</v>
      </c>
      <c r="J132" s="565"/>
      <c r="K132" s="415">
        <f>Sheet1!O253</f>
        <v>7.5042156903496551</v>
      </c>
      <c r="L132" t="s">
        <v>42</v>
      </c>
      <c r="S132" s="192"/>
    </row>
    <row r="133" spans="1:19">
      <c r="A133" s="192"/>
      <c r="S133" s="192"/>
    </row>
    <row r="134" spans="1:19">
      <c r="A134" s="192"/>
      <c r="S134" s="192"/>
    </row>
    <row r="135" spans="1:19" ht="19.5" thickBot="1">
      <c r="A135" s="192"/>
      <c r="I135" s="574" t="s">
        <v>470</v>
      </c>
      <c r="J135" s="574"/>
      <c r="K135" s="346">
        <v>180</v>
      </c>
      <c r="L135" t="s">
        <v>125</v>
      </c>
      <c r="S135" s="193"/>
    </row>
    <row r="136" spans="1:19">
      <c r="A136" s="192"/>
      <c r="I136" s="81"/>
      <c r="J136" s="81"/>
      <c r="K136" s="20"/>
      <c r="S136" s="191"/>
    </row>
    <row r="137" spans="1:19" ht="18.75">
      <c r="A137" s="192"/>
      <c r="I137" s="574" t="s">
        <v>471</v>
      </c>
      <c r="J137" s="574"/>
      <c r="K137" s="346">
        <v>580</v>
      </c>
      <c r="L137" t="s">
        <v>125</v>
      </c>
      <c r="S137" s="192"/>
    </row>
    <row r="138" spans="1:19">
      <c r="A138" s="192"/>
      <c r="S138" s="192"/>
    </row>
    <row r="139" spans="1:19">
      <c r="A139" s="192"/>
      <c r="S139" s="192"/>
    </row>
    <row r="140" spans="1:19">
      <c r="A140" s="192"/>
      <c r="S140" s="192"/>
    </row>
    <row r="141" spans="1:19">
      <c r="A141" s="192"/>
      <c r="S141" s="192"/>
    </row>
    <row r="142" spans="1:19">
      <c r="A142" s="192"/>
      <c r="S142" s="192"/>
    </row>
    <row r="143" spans="1:19">
      <c r="A143" s="192"/>
      <c r="S143" s="192"/>
    </row>
    <row r="144" spans="1:19">
      <c r="A144" s="192"/>
      <c r="S144" s="192"/>
    </row>
    <row r="145" spans="1:19">
      <c r="A145" s="192"/>
      <c r="S145" s="192"/>
    </row>
    <row r="146" spans="1:19">
      <c r="A146" s="192"/>
      <c r="S146" s="192"/>
    </row>
    <row r="147" spans="1:19">
      <c r="A147" s="192"/>
      <c r="S147" s="192"/>
    </row>
    <row r="148" spans="1:19">
      <c r="A148" s="192"/>
      <c r="S148" s="192"/>
    </row>
    <row r="149" spans="1:19">
      <c r="A149" s="192"/>
      <c r="S149" s="192"/>
    </row>
    <row r="150" spans="1:19">
      <c r="A150" s="192"/>
      <c r="S150" s="192"/>
    </row>
    <row r="151" spans="1:19">
      <c r="A151" s="192"/>
      <c r="S151" s="192"/>
    </row>
    <row r="152" spans="1:19" ht="16.5" thickBot="1">
      <c r="A152" s="192"/>
      <c r="S152" s="192"/>
    </row>
    <row r="153" spans="1:19" ht="16.5" thickBot="1">
      <c r="A153" s="89"/>
      <c r="S153" s="192"/>
    </row>
    <row r="154" spans="1:19">
      <c r="A154" s="192"/>
      <c r="S154" s="192"/>
    </row>
    <row r="155" spans="1:19">
      <c r="A155" s="192"/>
      <c r="S155" s="192"/>
    </row>
    <row r="156" spans="1:19" ht="18.75">
      <c r="A156" s="192"/>
      <c r="I156" s="565" t="s">
        <v>472</v>
      </c>
      <c r="J156" s="565"/>
      <c r="K156" s="250">
        <f>Sheet1!J8</f>
        <v>41.666666666666664</v>
      </c>
      <c r="L156" t="s">
        <v>125</v>
      </c>
      <c r="S156" s="192"/>
    </row>
    <row r="157" spans="1:19">
      <c r="A157" s="192"/>
      <c r="I157" s="565" t="s">
        <v>437</v>
      </c>
      <c r="J157" s="565"/>
      <c r="K157" s="250">
        <f>K129</f>
        <v>5.4042156903496545</v>
      </c>
      <c r="L157" t="s">
        <v>42</v>
      </c>
      <c r="S157" s="192"/>
    </row>
    <row r="158" spans="1:19">
      <c r="A158" s="192"/>
      <c r="I158" s="81"/>
      <c r="J158" s="81"/>
      <c r="S158" s="192"/>
    </row>
    <row r="159" spans="1:19" ht="18.75">
      <c r="A159" s="192"/>
      <c r="I159" s="565" t="s">
        <v>473</v>
      </c>
      <c r="J159" s="565"/>
      <c r="K159" s="239">
        <f>Sheet1!N8</f>
        <v>250</v>
      </c>
      <c r="L159" t="s">
        <v>125</v>
      </c>
      <c r="S159" s="192"/>
    </row>
    <row r="160" spans="1:19">
      <c r="A160" s="192"/>
      <c r="I160" s="565" t="s">
        <v>438</v>
      </c>
      <c r="J160" s="565"/>
      <c r="K160" s="239">
        <f>K132</f>
        <v>7.5042156903496551</v>
      </c>
      <c r="L160" t="s">
        <v>42</v>
      </c>
      <c r="S160" s="192"/>
    </row>
    <row r="161" spans="1:19">
      <c r="A161" s="192"/>
      <c r="K161" s="20"/>
      <c r="S161" s="192"/>
    </row>
    <row r="162" spans="1:19">
      <c r="A162" s="192"/>
      <c r="K162" s="20"/>
      <c r="S162" s="192"/>
    </row>
    <row r="163" spans="1:19" ht="18.75">
      <c r="A163" s="192"/>
      <c r="I163" s="574" t="s">
        <v>474</v>
      </c>
      <c r="J163" s="574"/>
      <c r="K163" s="221">
        <v>80</v>
      </c>
      <c r="L163" t="s">
        <v>125</v>
      </c>
      <c r="S163" s="192"/>
    </row>
    <row r="164" spans="1:19">
      <c r="A164" s="192"/>
      <c r="I164" s="81"/>
      <c r="J164" s="81"/>
      <c r="K164" s="20"/>
      <c r="S164" s="192"/>
    </row>
    <row r="165" spans="1:19" ht="18.75">
      <c r="A165" s="192"/>
      <c r="I165" s="574" t="s">
        <v>475</v>
      </c>
      <c r="J165" s="574"/>
      <c r="K165" s="221">
        <v>290</v>
      </c>
      <c r="L165" t="s">
        <v>125</v>
      </c>
      <c r="S165" s="192"/>
    </row>
    <row r="166" spans="1:19">
      <c r="A166" s="192"/>
      <c r="S166" s="192"/>
    </row>
    <row r="167" spans="1:19">
      <c r="A167" s="192"/>
      <c r="S167" s="192"/>
    </row>
    <row r="168" spans="1:19">
      <c r="A168" s="192"/>
      <c r="S168" s="192"/>
    </row>
    <row r="169" spans="1:19">
      <c r="A169" s="192"/>
      <c r="S169" s="192"/>
    </row>
    <row r="170" spans="1:19">
      <c r="A170" s="192"/>
      <c r="S170" s="192"/>
    </row>
    <row r="171" spans="1:19">
      <c r="A171" s="192"/>
      <c r="S171" s="192"/>
    </row>
    <row r="172" spans="1:19">
      <c r="A172" s="192"/>
      <c r="S172" s="192"/>
    </row>
    <row r="173" spans="1:19">
      <c r="A173" s="192"/>
      <c r="S173" s="192"/>
    </row>
    <row r="174" spans="1:19">
      <c r="A174" s="192"/>
      <c r="S174" s="192"/>
    </row>
    <row r="175" spans="1:19">
      <c r="A175" s="192"/>
      <c r="S175" s="192"/>
    </row>
    <row r="176" spans="1:19">
      <c r="A176" s="192"/>
      <c r="S176" s="192"/>
    </row>
    <row r="177" spans="1:19">
      <c r="A177" s="192"/>
      <c r="S177" s="192"/>
    </row>
    <row r="178" spans="1:19">
      <c r="A178" s="192"/>
      <c r="S178" s="192"/>
    </row>
    <row r="179" spans="1:19">
      <c r="A179" s="192"/>
      <c r="S179" s="192"/>
    </row>
    <row r="180" spans="1:19">
      <c r="A180" s="192"/>
      <c r="S180" s="192"/>
    </row>
    <row r="181" spans="1:19">
      <c r="A181" s="192"/>
      <c r="S181" s="192"/>
    </row>
    <row r="182" spans="1:19">
      <c r="A182" s="192"/>
      <c r="S182" s="192"/>
    </row>
    <row r="183" spans="1:19">
      <c r="A183" s="192"/>
      <c r="B183" s="96"/>
      <c r="C183" s="96"/>
      <c r="D183" s="96"/>
      <c r="E183" s="96"/>
      <c r="F183" s="96"/>
      <c r="G183" s="96"/>
      <c r="H183" s="96"/>
      <c r="I183" s="96"/>
      <c r="J183" s="96"/>
      <c r="K183" s="96"/>
      <c r="L183" s="96"/>
      <c r="M183" s="96"/>
      <c r="N183" s="96"/>
      <c r="O183" s="96"/>
      <c r="P183" s="96"/>
      <c r="Q183" s="96"/>
      <c r="R183" s="96"/>
      <c r="S183" s="192"/>
    </row>
    <row r="184" spans="1:19">
      <c r="A184" s="192"/>
      <c r="Q184" s="248" t="s">
        <v>476</v>
      </c>
      <c r="R184" s="233" t="s">
        <v>439</v>
      </c>
      <c r="S184" s="210"/>
    </row>
    <row r="185" spans="1:19">
      <c r="A185" s="192"/>
      <c r="Q185" s="81" t="s">
        <v>440</v>
      </c>
      <c r="S185" s="192"/>
    </row>
    <row r="186" spans="1:19">
      <c r="A186" s="192"/>
      <c r="S186" s="192"/>
    </row>
    <row r="187" spans="1:19">
      <c r="A187" s="220"/>
      <c r="B187" s="575" t="s">
        <v>303</v>
      </c>
      <c r="C187" s="576"/>
      <c r="D187" s="688" t="s">
        <v>441</v>
      </c>
      <c r="E187" s="689"/>
      <c r="F187" s="689"/>
      <c r="G187" s="689"/>
      <c r="H187" s="690"/>
      <c r="I187" s="250" t="s">
        <v>448</v>
      </c>
      <c r="J187" s="252" t="s">
        <v>450</v>
      </c>
      <c r="K187" s="250">
        <f>K157</f>
        <v>5.4042156903496545</v>
      </c>
      <c r="S187" s="192"/>
    </row>
    <row r="188" spans="1:19">
      <c r="A188" s="220"/>
      <c r="B188" s="577"/>
      <c r="C188" s="578"/>
      <c r="D188" s="264" t="s">
        <v>442</v>
      </c>
      <c r="E188" s="264" t="s">
        <v>443</v>
      </c>
      <c r="F188" s="265" t="s">
        <v>445</v>
      </c>
      <c r="G188" s="266" t="s">
        <v>444</v>
      </c>
      <c r="H188" s="267"/>
      <c r="I188" s="250" t="s">
        <v>449</v>
      </c>
      <c r="J188" s="252" t="s">
        <v>450</v>
      </c>
      <c r="K188" s="250">
        <f>K160</f>
        <v>7.5042156903496551</v>
      </c>
      <c r="S188" s="192"/>
    </row>
    <row r="189" spans="1:19">
      <c r="A189" s="220"/>
      <c r="B189" s="686" t="s">
        <v>446</v>
      </c>
      <c r="C189" s="687"/>
      <c r="D189" s="255">
        <v>1.35</v>
      </c>
      <c r="E189" s="255">
        <v>1.3</v>
      </c>
      <c r="F189" s="255">
        <v>1.25</v>
      </c>
      <c r="G189" s="255">
        <v>1.2</v>
      </c>
      <c r="H189" s="258"/>
      <c r="S189" s="192"/>
    </row>
    <row r="190" spans="1:19">
      <c r="A190" s="220"/>
      <c r="B190" s="686" t="s">
        <v>377</v>
      </c>
      <c r="C190" s="687"/>
      <c r="D190" s="255">
        <v>1.25</v>
      </c>
      <c r="E190" s="255">
        <v>1.2</v>
      </c>
      <c r="F190" s="255">
        <v>1.18</v>
      </c>
      <c r="G190" s="255">
        <v>1.1499999999999999</v>
      </c>
      <c r="H190" s="258"/>
      <c r="S190" s="192"/>
    </row>
    <row r="191" spans="1:19">
      <c r="A191" s="220"/>
      <c r="B191" s="686" t="s">
        <v>447</v>
      </c>
      <c r="C191" s="687"/>
      <c r="D191" s="255">
        <v>1.25</v>
      </c>
      <c r="E191" s="255">
        <v>1.2</v>
      </c>
      <c r="F191" s="255">
        <v>1.18</v>
      </c>
      <c r="G191" s="255">
        <v>1.1499999999999999</v>
      </c>
      <c r="H191" s="258"/>
      <c r="S191" s="192"/>
    </row>
    <row r="192" spans="1:19">
      <c r="A192" s="192"/>
      <c r="C192" s="245" t="s">
        <v>451</v>
      </c>
      <c r="D192" s="198" t="s">
        <v>455</v>
      </c>
      <c r="E192" s="221">
        <v>1.25</v>
      </c>
      <c r="S192" s="192"/>
    </row>
    <row r="193" spans="1:19">
      <c r="A193" s="192"/>
      <c r="C193" s="245" t="s">
        <v>452</v>
      </c>
      <c r="D193" s="198" t="s">
        <v>455</v>
      </c>
      <c r="E193" s="221">
        <v>1.25</v>
      </c>
      <c r="S193" s="192"/>
    </row>
    <row r="194" spans="1:19">
      <c r="A194" s="192"/>
      <c r="C194" s="245" t="s">
        <v>453</v>
      </c>
      <c r="D194" s="198" t="s">
        <v>455</v>
      </c>
      <c r="E194" s="221">
        <v>1.18</v>
      </c>
      <c r="S194" s="192"/>
    </row>
    <row r="195" spans="1:19">
      <c r="A195" s="192"/>
      <c r="C195" s="245" t="s">
        <v>454</v>
      </c>
      <c r="D195" s="198" t="s">
        <v>455</v>
      </c>
      <c r="E195" s="221">
        <v>1.18</v>
      </c>
      <c r="S195" s="192"/>
    </row>
    <row r="196" spans="1:19">
      <c r="A196" s="192"/>
      <c r="S196" s="192"/>
    </row>
    <row r="197" spans="1:19">
      <c r="A197" s="192"/>
      <c r="B197" s="149"/>
      <c r="C197" s="149"/>
      <c r="D197" s="149"/>
      <c r="E197" s="149"/>
      <c r="F197" s="149"/>
      <c r="G197" s="149"/>
      <c r="H197" s="149"/>
      <c r="I197" s="149"/>
      <c r="J197" s="149"/>
      <c r="K197" s="149"/>
      <c r="L197" s="149"/>
      <c r="M197" s="149"/>
      <c r="N197" s="149"/>
      <c r="O197" s="149"/>
      <c r="P197" s="149"/>
      <c r="Q197" s="149"/>
      <c r="R197" s="149"/>
      <c r="S197" s="192"/>
    </row>
    <row r="198" spans="1:19">
      <c r="A198" s="192"/>
      <c r="Q198" s="81" t="s">
        <v>459</v>
      </c>
      <c r="R198" s="233" t="s">
        <v>456</v>
      </c>
      <c r="S198" s="210"/>
    </row>
    <row r="199" spans="1:19">
      <c r="A199" s="192"/>
      <c r="S199" s="192"/>
    </row>
    <row r="200" spans="1:19">
      <c r="A200" s="192"/>
      <c r="D200" t="s">
        <v>89</v>
      </c>
      <c r="S200" s="192"/>
    </row>
    <row r="201" spans="1:19">
      <c r="A201" s="192"/>
      <c r="S201" s="192"/>
    </row>
    <row r="202" spans="1:19">
      <c r="A202" s="192"/>
      <c r="S202" s="192"/>
    </row>
    <row r="203" spans="1:19">
      <c r="A203" s="192"/>
      <c r="J203" s="250" t="s">
        <v>224</v>
      </c>
      <c r="K203" s="252" t="s">
        <v>457</v>
      </c>
      <c r="L203" s="252">
        <f>Sheet1!Q183</f>
        <v>0.12418403303423008</v>
      </c>
      <c r="S203" s="192"/>
    </row>
    <row r="204" spans="1:19">
      <c r="A204" s="192"/>
      <c r="J204" s="250" t="s">
        <v>225</v>
      </c>
      <c r="K204" s="252" t="s">
        <v>457</v>
      </c>
      <c r="L204" s="137">
        <f>Sheet1!Q292</f>
        <v>3.1449305555555558</v>
      </c>
      <c r="S204" s="192"/>
    </row>
    <row r="205" spans="1:19">
      <c r="A205" s="192"/>
      <c r="S205" s="192"/>
    </row>
    <row r="206" spans="1:19">
      <c r="A206" s="192"/>
      <c r="S206" s="192"/>
    </row>
    <row r="207" spans="1:19">
      <c r="A207" s="192"/>
      <c r="S207" s="192"/>
    </row>
    <row r="208" spans="1:19">
      <c r="A208" s="192"/>
      <c r="J208" s="245" t="s">
        <v>224</v>
      </c>
      <c r="K208" s="111" t="s">
        <v>458</v>
      </c>
      <c r="L208" s="221">
        <v>0.8</v>
      </c>
      <c r="S208" s="192"/>
    </row>
    <row r="209" spans="1:19">
      <c r="A209" s="192"/>
      <c r="J209" s="245" t="s">
        <v>225</v>
      </c>
      <c r="K209" s="111" t="s">
        <v>458</v>
      </c>
      <c r="L209" s="221">
        <v>1</v>
      </c>
      <c r="S209" s="192"/>
    </row>
    <row r="210" spans="1:19">
      <c r="A210" s="192"/>
      <c r="S210" s="192"/>
    </row>
    <row r="211" spans="1:19">
      <c r="A211" s="192"/>
      <c r="S211" s="192"/>
    </row>
    <row r="212" spans="1:19">
      <c r="A212" s="192"/>
      <c r="S212" s="192"/>
    </row>
    <row r="213" spans="1:19">
      <c r="A213" s="192"/>
      <c r="S213" s="192"/>
    </row>
    <row r="214" spans="1:19">
      <c r="A214" s="192"/>
      <c r="S214" s="192"/>
    </row>
    <row r="215" spans="1:19">
      <c r="A215" s="192"/>
      <c r="S215" s="192"/>
    </row>
    <row r="216" spans="1:19">
      <c r="A216" s="192"/>
      <c r="S216" s="192"/>
    </row>
    <row r="217" spans="1:19" ht="16.5" thickBot="1">
      <c r="A217" s="192"/>
      <c r="S217" s="192"/>
    </row>
    <row r="218" spans="1:19" ht="16.5" thickBot="1">
      <c r="A218" s="191"/>
      <c r="S218" s="89"/>
    </row>
    <row r="219" spans="1:19">
      <c r="A219" s="192"/>
      <c r="S219" s="192"/>
    </row>
    <row r="220" spans="1:19" ht="16.5" thickBot="1">
      <c r="A220" s="193"/>
      <c r="S220" s="192"/>
    </row>
    <row r="221" spans="1:19" ht="16.5" thickBot="1">
      <c r="A221" s="192"/>
      <c r="B221" s="96"/>
      <c r="C221" s="96"/>
      <c r="D221" s="96"/>
      <c r="E221" s="96"/>
      <c r="F221" s="96"/>
      <c r="G221" s="96"/>
      <c r="H221" s="96"/>
      <c r="I221" s="96"/>
      <c r="J221" s="96"/>
      <c r="K221" s="96"/>
      <c r="L221" s="96"/>
      <c r="M221" s="96"/>
      <c r="N221" s="96"/>
      <c r="O221" s="96"/>
      <c r="P221" s="96"/>
      <c r="Q221" s="96"/>
      <c r="R221" s="96"/>
      <c r="S221" s="192"/>
    </row>
    <row r="222" spans="1:19" ht="19.5" thickBot="1">
      <c r="A222" s="192"/>
      <c r="Q222" s="81" t="s">
        <v>461</v>
      </c>
      <c r="R222" s="88" t="s">
        <v>460</v>
      </c>
      <c r="S222" s="192"/>
    </row>
    <row r="223" spans="1:19">
      <c r="A223" s="192"/>
      <c r="S223" s="192"/>
    </row>
    <row r="224" spans="1:19">
      <c r="A224" s="192"/>
      <c r="S224" s="192"/>
    </row>
    <row r="225" spans="1:19">
      <c r="A225" s="192"/>
      <c r="S225" s="192"/>
    </row>
    <row r="226" spans="1:19" ht="18.75">
      <c r="A226" s="192"/>
      <c r="I226" s="250" t="s">
        <v>224</v>
      </c>
      <c r="J226" s="252" t="s">
        <v>462</v>
      </c>
      <c r="K226" s="250">
        <f>Sheet1!Q192</f>
        <v>20.482689626069007</v>
      </c>
      <c r="S226" s="192"/>
    </row>
    <row r="227" spans="1:19" ht="18.75">
      <c r="A227" s="192"/>
      <c r="I227" s="250" t="s">
        <v>225</v>
      </c>
      <c r="J227" s="252" t="s">
        <v>462</v>
      </c>
      <c r="K227" s="250">
        <f>Sheet1!Q302</f>
        <v>11.378308837839599</v>
      </c>
      <c r="S227" s="192"/>
    </row>
    <row r="228" spans="1:19">
      <c r="A228" s="192"/>
      <c r="S228" s="192"/>
    </row>
    <row r="229" spans="1:19">
      <c r="A229" s="192"/>
      <c r="I229" s="245" t="s">
        <v>224</v>
      </c>
      <c r="J229" s="198" t="s">
        <v>463</v>
      </c>
      <c r="K229" s="221">
        <v>0.92</v>
      </c>
      <c r="S229" s="192"/>
    </row>
    <row r="230" spans="1:19">
      <c r="A230" s="192"/>
      <c r="I230" s="245" t="s">
        <v>225</v>
      </c>
      <c r="J230" s="198" t="s">
        <v>463</v>
      </c>
      <c r="K230" s="221">
        <v>1</v>
      </c>
      <c r="S230" s="192"/>
    </row>
    <row r="231" spans="1:19">
      <c r="A231" s="192"/>
      <c r="S231" s="192"/>
    </row>
    <row r="232" spans="1:19">
      <c r="A232" s="192"/>
      <c r="S232" s="192"/>
    </row>
    <row r="233" spans="1:19">
      <c r="A233" s="192"/>
      <c r="S233" s="192"/>
    </row>
    <row r="234" spans="1:19">
      <c r="A234" s="192"/>
      <c r="S234" s="192"/>
    </row>
    <row r="235" spans="1:19">
      <c r="A235" s="192"/>
      <c r="S235" s="192"/>
    </row>
    <row r="236" spans="1:19">
      <c r="A236" s="192"/>
      <c r="S236" s="192"/>
    </row>
    <row r="237" spans="1:19">
      <c r="A237" s="192"/>
      <c r="S237" s="192"/>
    </row>
    <row r="238" spans="1:19">
      <c r="A238" s="192"/>
      <c r="S238" s="192"/>
    </row>
    <row r="239" spans="1:19">
      <c r="A239" s="192"/>
      <c r="S239" s="192"/>
    </row>
    <row r="240" spans="1:19">
      <c r="A240" s="192"/>
      <c r="S240" s="192"/>
    </row>
    <row r="241" spans="1:19">
      <c r="A241" s="192"/>
      <c r="S241" s="192"/>
    </row>
    <row r="242" spans="1:19">
      <c r="A242" s="192"/>
      <c r="S242" s="192"/>
    </row>
    <row r="243" spans="1:19">
      <c r="A243" s="192"/>
      <c r="S243" s="192"/>
    </row>
    <row r="244" spans="1:19">
      <c r="A244" s="192"/>
      <c r="S244" s="192"/>
    </row>
    <row r="245" spans="1:19" ht="16.5" thickBot="1">
      <c r="A245" s="268"/>
      <c r="B245" s="45"/>
      <c r="C245" s="45"/>
      <c r="D245" s="45"/>
      <c r="E245" s="45"/>
      <c r="F245" s="45"/>
      <c r="G245" s="45"/>
      <c r="H245" s="45"/>
      <c r="I245" s="45"/>
      <c r="J245" s="45"/>
      <c r="K245" s="45"/>
      <c r="L245" s="45"/>
      <c r="M245" s="45"/>
      <c r="N245" s="45"/>
      <c r="O245" s="45"/>
      <c r="P245" s="45"/>
      <c r="Q245" s="45"/>
      <c r="R245" s="45"/>
      <c r="S245" s="268"/>
    </row>
    <row r="246" spans="1:19" ht="16.5" thickBot="1">
      <c r="A246" s="260"/>
      <c r="S246" s="260"/>
    </row>
    <row r="247" spans="1:19" ht="20.25">
      <c r="A247" s="260"/>
      <c r="B247" s="671" t="s">
        <v>488</v>
      </c>
      <c r="C247" s="672"/>
      <c r="D247" s="349" t="s">
        <v>489</v>
      </c>
      <c r="E247" s="349" t="s">
        <v>490</v>
      </c>
      <c r="F247" s="271" t="s">
        <v>491</v>
      </c>
      <c r="I247" s="655" t="s">
        <v>477</v>
      </c>
      <c r="J247" s="655"/>
      <c r="K247" s="655"/>
      <c r="M247" s="671" t="s">
        <v>488</v>
      </c>
      <c r="N247" s="672"/>
      <c r="O247" s="672"/>
      <c r="P247" s="270" t="s">
        <v>489</v>
      </c>
      <c r="Q247" s="270" t="s">
        <v>490</v>
      </c>
      <c r="R247" s="271" t="s">
        <v>491</v>
      </c>
      <c r="S247" s="260"/>
    </row>
    <row r="248" spans="1:19" ht="18.75">
      <c r="A248" s="260"/>
      <c r="B248" s="656" t="s">
        <v>478</v>
      </c>
      <c r="C248" s="657"/>
      <c r="D248" s="344" t="s">
        <v>492</v>
      </c>
      <c r="E248" s="344" t="s">
        <v>512</v>
      </c>
      <c r="F248" s="208">
        <f>Sheet1!Q210</f>
        <v>70.459484862523638</v>
      </c>
      <c r="M248" s="673" t="s">
        <v>500</v>
      </c>
      <c r="N248" s="674"/>
      <c r="O248" s="674"/>
      <c r="P248" s="239" t="s">
        <v>505</v>
      </c>
      <c r="Q248" s="239" t="s">
        <v>498</v>
      </c>
      <c r="R248" s="208">
        <f>Sheet1!F64</f>
        <v>2.7717367372830366</v>
      </c>
      <c r="S248" s="260"/>
    </row>
    <row r="249" spans="1:19" ht="20.25">
      <c r="A249" s="260"/>
      <c r="B249" s="658" t="s">
        <v>479</v>
      </c>
      <c r="C249" s="659"/>
      <c r="D249" s="344" t="s">
        <v>486</v>
      </c>
      <c r="E249" s="344" t="s">
        <v>512</v>
      </c>
      <c r="F249" s="208">
        <f>Sheet1!Q320</f>
        <v>49.822379545201365</v>
      </c>
      <c r="M249" s="675" t="s">
        <v>501</v>
      </c>
      <c r="N249" s="676"/>
      <c r="O249" s="676"/>
      <c r="P249" s="239" t="s">
        <v>506</v>
      </c>
      <c r="Q249" s="239" t="s">
        <v>507</v>
      </c>
      <c r="R249" s="208">
        <f>Sheet1!R116</f>
        <v>0.23778971777086105</v>
      </c>
      <c r="S249" s="260"/>
    </row>
    <row r="250" spans="1:19" ht="21" thickBot="1">
      <c r="A250" s="260"/>
      <c r="B250" s="658" t="s">
        <v>480</v>
      </c>
      <c r="C250" s="659"/>
      <c r="D250" s="344" t="s">
        <v>493</v>
      </c>
      <c r="E250" s="344" t="s">
        <v>512</v>
      </c>
      <c r="F250" s="208">
        <f>Sheet1!I318</f>
        <v>42.349022613421155</v>
      </c>
      <c r="M250" s="677" t="s">
        <v>502</v>
      </c>
      <c r="N250" s="678"/>
      <c r="O250" s="678"/>
      <c r="P250" s="239" t="s">
        <v>506</v>
      </c>
      <c r="Q250" s="272" t="s">
        <v>507</v>
      </c>
      <c r="R250" s="273">
        <f>Sheet1!R245</f>
        <v>6.0851909403399247E-2</v>
      </c>
      <c r="S250" s="260"/>
    </row>
    <row r="251" spans="1:19">
      <c r="A251" s="260"/>
      <c r="B251" s="658" t="s">
        <v>481</v>
      </c>
      <c r="C251" s="659"/>
      <c r="D251" s="344" t="s">
        <v>494</v>
      </c>
      <c r="E251" s="344" t="s">
        <v>512</v>
      </c>
      <c r="F251" s="208">
        <f>Sheet1!I320</f>
        <v>30</v>
      </c>
      <c r="N251" s="668"/>
      <c r="O251" s="668"/>
      <c r="P251" s="269"/>
      <c r="Q251" s="269"/>
      <c r="R251" s="269"/>
      <c r="S251" s="260"/>
    </row>
    <row r="252" spans="1:19" ht="18.75">
      <c r="A252" s="260"/>
      <c r="B252" s="658" t="s">
        <v>482</v>
      </c>
      <c r="C252" s="659"/>
      <c r="D252" s="344" t="s">
        <v>495</v>
      </c>
      <c r="E252" s="344" t="s">
        <v>512</v>
      </c>
      <c r="F252" s="208">
        <f>Sheet1!Q38*100</f>
        <v>107.21670569006999</v>
      </c>
      <c r="G252" s="579" t="s">
        <v>595</v>
      </c>
      <c r="H252" s="580"/>
      <c r="I252" s="580"/>
      <c r="J252" s="580"/>
      <c r="K252" s="580"/>
      <c r="L252" s="580"/>
      <c r="M252" s="580"/>
      <c r="N252" s="580"/>
      <c r="O252" s="580"/>
      <c r="P252" s="580"/>
      <c r="Q252" s="580"/>
      <c r="R252" s="580"/>
      <c r="S252" s="260"/>
    </row>
    <row r="253" spans="1:19">
      <c r="A253" s="260"/>
      <c r="B253" s="658" t="s">
        <v>503</v>
      </c>
      <c r="C253" s="659"/>
      <c r="D253" s="344" t="s">
        <v>504</v>
      </c>
      <c r="E253" s="344" t="s">
        <v>498</v>
      </c>
      <c r="F253" s="208">
        <f>Sheet1!Q55</f>
        <v>8.0520158397588091</v>
      </c>
      <c r="K253" s="581" t="s">
        <v>605</v>
      </c>
      <c r="L253" s="581"/>
      <c r="M253" s="581"/>
      <c r="N253" s="581"/>
      <c r="O253" s="581"/>
      <c r="P253" s="581"/>
      <c r="Q253" s="581"/>
      <c r="R253" s="581"/>
      <c r="S253" s="260"/>
    </row>
    <row r="254" spans="1:19" ht="16.5" thickBot="1">
      <c r="A254" s="260"/>
      <c r="B254" s="658" t="s">
        <v>483</v>
      </c>
      <c r="C254" s="659"/>
      <c r="D254" s="344" t="s">
        <v>487</v>
      </c>
      <c r="E254" s="344" t="s">
        <v>498</v>
      </c>
      <c r="F254" s="208">
        <f>Sheet1!Q75</f>
        <v>3.8320486334489545</v>
      </c>
      <c r="N254" s="668"/>
      <c r="O254" s="668"/>
      <c r="P254" s="269"/>
      <c r="Q254" s="269"/>
      <c r="R254" s="269"/>
      <c r="S254" s="260"/>
    </row>
    <row r="255" spans="1:19">
      <c r="A255" s="260"/>
      <c r="B255" s="682" t="s">
        <v>484</v>
      </c>
      <c r="C255" s="683"/>
      <c r="D255" s="344" t="s">
        <v>496</v>
      </c>
      <c r="E255" s="344" t="s">
        <v>499</v>
      </c>
      <c r="F255" s="208">
        <f>Sheet1!Q197</f>
        <v>4.921116257434452</v>
      </c>
      <c r="K255" s="397" t="s">
        <v>490</v>
      </c>
      <c r="L255" s="582" t="s">
        <v>593</v>
      </c>
      <c r="M255" s="583"/>
      <c r="N255" s="669" t="s">
        <v>590</v>
      </c>
      <c r="O255" s="670"/>
      <c r="P255" s="391" t="s">
        <v>490</v>
      </c>
      <c r="Q255" s="269"/>
      <c r="R255" s="269"/>
      <c r="S255" s="260"/>
    </row>
    <row r="256" spans="1:19" ht="16.5" thickBot="1">
      <c r="A256" s="260"/>
      <c r="B256" s="684" t="s">
        <v>485</v>
      </c>
      <c r="C256" s="685"/>
      <c r="D256" s="272" t="s">
        <v>497</v>
      </c>
      <c r="E256" s="272" t="s">
        <v>499</v>
      </c>
      <c r="F256" s="273">
        <f>Sheet1!Q307</f>
        <v>3.78450461754429</v>
      </c>
      <c r="K256" s="348" t="s">
        <v>594</v>
      </c>
      <c r="L256" s="173" t="s">
        <v>591</v>
      </c>
      <c r="M256" s="398">
        <f>F255*100</f>
        <v>492.11162574344519</v>
      </c>
      <c r="N256" s="392" t="s">
        <v>591</v>
      </c>
      <c r="O256" s="370">
        <v>20000000</v>
      </c>
      <c r="P256" s="393" t="s">
        <v>564</v>
      </c>
      <c r="Q256" s="269"/>
      <c r="R256" s="269"/>
      <c r="S256" s="260"/>
    </row>
    <row r="257" spans="1:19" ht="16.5" thickBot="1">
      <c r="A257" s="260"/>
      <c r="B257" s="667"/>
      <c r="C257" s="667"/>
      <c r="D257" s="403"/>
      <c r="E257" s="403"/>
      <c r="F257" s="347"/>
      <c r="K257" s="348" t="s">
        <v>594</v>
      </c>
      <c r="L257" s="400" t="s">
        <v>592</v>
      </c>
      <c r="M257" s="399">
        <f>F256*100</f>
        <v>378.450461754429</v>
      </c>
      <c r="N257" s="394" t="s">
        <v>592</v>
      </c>
      <c r="O257" s="395">
        <v>10000000</v>
      </c>
      <c r="P257" s="396" t="s">
        <v>564</v>
      </c>
      <c r="Q257" s="269"/>
      <c r="R257" s="269"/>
      <c r="S257" s="260"/>
    </row>
    <row r="258" spans="1:19">
      <c r="A258" s="260"/>
      <c r="B258" s="667"/>
      <c r="C258" s="667"/>
      <c r="D258" s="403"/>
      <c r="E258" s="403"/>
      <c r="F258" s="347"/>
      <c r="S258" s="260"/>
    </row>
    <row r="259" spans="1:19">
      <c r="A259" s="260"/>
      <c r="B259" s="667"/>
      <c r="C259" s="667"/>
      <c r="D259" s="403"/>
      <c r="E259" s="403"/>
      <c r="F259" s="375"/>
      <c r="S259" s="260"/>
    </row>
    <row r="260" spans="1:19">
      <c r="A260" s="260"/>
      <c r="B260" s="667"/>
      <c r="C260" s="667"/>
      <c r="D260" s="403"/>
      <c r="E260" s="403"/>
      <c r="F260" s="375"/>
      <c r="S260" s="260"/>
    </row>
    <row r="261" spans="1:19">
      <c r="A261" s="260"/>
      <c r="S261" s="260"/>
    </row>
    <row r="262" spans="1:19">
      <c r="A262" s="260"/>
      <c r="B262" s="260"/>
      <c r="C262" s="260"/>
      <c r="D262" s="260"/>
      <c r="E262" s="260"/>
      <c r="F262" s="260"/>
      <c r="G262" s="260"/>
      <c r="H262" s="260"/>
      <c r="I262" s="260"/>
      <c r="J262" s="260"/>
      <c r="K262" s="260"/>
      <c r="L262" s="260"/>
      <c r="M262" s="260"/>
      <c r="N262" s="260"/>
      <c r="O262" s="260"/>
      <c r="P262" s="260"/>
      <c r="Q262" s="260"/>
      <c r="R262" s="260"/>
      <c r="S262" s="260"/>
    </row>
    <row r="263" spans="1:19">
      <c r="A263" s="260"/>
      <c r="B263" s="260"/>
      <c r="C263" s="260"/>
      <c r="D263" s="260"/>
      <c r="E263" s="260"/>
      <c r="F263" s="260"/>
      <c r="G263" s="260"/>
      <c r="H263" s="260"/>
      <c r="I263" s="260"/>
      <c r="J263" s="260"/>
      <c r="K263" s="260"/>
      <c r="L263" s="260"/>
      <c r="M263" s="260"/>
      <c r="N263" s="260"/>
      <c r="O263" s="260"/>
      <c r="P263" s="260"/>
      <c r="Q263" s="260"/>
      <c r="R263" s="260"/>
      <c r="S263" s="260"/>
    </row>
  </sheetData>
  <mergeCells count="174">
    <mergeCell ref="N93:O93"/>
    <mergeCell ref="N92:R92"/>
    <mergeCell ref="N94:O94"/>
    <mergeCell ref="N95:O95"/>
    <mergeCell ref="B255:C255"/>
    <mergeCell ref="B256:C256"/>
    <mergeCell ref="B257:C257"/>
    <mergeCell ref="B258:C258"/>
    <mergeCell ref="B253:C253"/>
    <mergeCell ref="N115:N116"/>
    <mergeCell ref="I120:J120"/>
    <mergeCell ref="I128:J128"/>
    <mergeCell ref="I129:J129"/>
    <mergeCell ref="I131:J131"/>
    <mergeCell ref="I132:J132"/>
    <mergeCell ref="B189:C189"/>
    <mergeCell ref="B190:C190"/>
    <mergeCell ref="B191:C191"/>
    <mergeCell ref="D187:H187"/>
    <mergeCell ref="I137:J137"/>
    <mergeCell ref="I135:J135"/>
    <mergeCell ref="I156:J156"/>
    <mergeCell ref="I157:J157"/>
    <mergeCell ref="I159:J159"/>
    <mergeCell ref="I115:J116"/>
    <mergeCell ref="I117:J117"/>
    <mergeCell ref="I118:J118"/>
    <mergeCell ref="I119:J119"/>
    <mergeCell ref="B259:C259"/>
    <mergeCell ref="B260:C260"/>
    <mergeCell ref="J84:K84"/>
    <mergeCell ref="N251:O251"/>
    <mergeCell ref="N254:O254"/>
    <mergeCell ref="N255:O255"/>
    <mergeCell ref="M247:O247"/>
    <mergeCell ref="M248:O248"/>
    <mergeCell ref="M249:O249"/>
    <mergeCell ref="M250:O250"/>
    <mergeCell ref="B250:C250"/>
    <mergeCell ref="B251:C251"/>
    <mergeCell ref="B252:C252"/>
    <mergeCell ref="B254:C254"/>
    <mergeCell ref="B247:C247"/>
    <mergeCell ref="O88:P88"/>
    <mergeCell ref="M88:N88"/>
    <mergeCell ref="K88:L88"/>
    <mergeCell ref="I88:J88"/>
    <mergeCell ref="G88:H88"/>
    <mergeCell ref="I87:J87"/>
    <mergeCell ref="G87:H87"/>
    <mergeCell ref="E87:F87"/>
    <mergeCell ref="C87:D87"/>
    <mergeCell ref="E88:F88"/>
    <mergeCell ref="I247:K247"/>
    <mergeCell ref="B248:C248"/>
    <mergeCell ref="B249:C249"/>
    <mergeCell ref="I93:J93"/>
    <mergeCell ref="G93:H93"/>
    <mergeCell ref="E93:F93"/>
    <mergeCell ref="I94:J94"/>
    <mergeCell ref="G94:H94"/>
    <mergeCell ref="E94:F94"/>
    <mergeCell ref="C88:D88"/>
    <mergeCell ref="C102:D102"/>
    <mergeCell ref="C103:D103"/>
    <mergeCell ref="C104:D104"/>
    <mergeCell ref="C105:D105"/>
    <mergeCell ref="C106:D106"/>
    <mergeCell ref="E101:F101"/>
    <mergeCell ref="J102:K102"/>
    <mergeCell ref="J104:K104"/>
    <mergeCell ref="K115:M115"/>
    <mergeCell ref="N75:O75"/>
    <mergeCell ref="P75:Q75"/>
    <mergeCell ref="L74:Q74"/>
    <mergeCell ref="N83:Q83"/>
    <mergeCell ref="O86:P86"/>
    <mergeCell ref="O87:P87"/>
    <mergeCell ref="M87:N87"/>
    <mergeCell ref="K87:L87"/>
    <mergeCell ref="P78:Q78"/>
    <mergeCell ref="N78:O78"/>
    <mergeCell ref="L78:M78"/>
    <mergeCell ref="L75:M75"/>
    <mergeCell ref="B65:C65"/>
    <mergeCell ref="B66:C66"/>
    <mergeCell ref="B67:C67"/>
    <mergeCell ref="B68:C68"/>
    <mergeCell ref="B63:C63"/>
    <mergeCell ref="C74:J74"/>
    <mergeCell ref="E73:F73"/>
    <mergeCell ref="L76:M76"/>
    <mergeCell ref="J63:K63"/>
    <mergeCell ref="D64:E64"/>
    <mergeCell ref="D65:E65"/>
    <mergeCell ref="D66:E66"/>
    <mergeCell ref="D67:E67"/>
    <mergeCell ref="F64:H64"/>
    <mergeCell ref="F65:H65"/>
    <mergeCell ref="F66:H66"/>
    <mergeCell ref="F67:H67"/>
    <mergeCell ref="J67:K67"/>
    <mergeCell ref="F26:G26"/>
    <mergeCell ref="B27:J27"/>
    <mergeCell ref="D28:H28"/>
    <mergeCell ref="C45:F45"/>
    <mergeCell ref="C46:F46"/>
    <mergeCell ref="F61:G61"/>
    <mergeCell ref="B62:C62"/>
    <mergeCell ref="D62:E62"/>
    <mergeCell ref="C47:F47"/>
    <mergeCell ref="C48:F48"/>
    <mergeCell ref="C49:F49"/>
    <mergeCell ref="E40:F40"/>
    <mergeCell ref="C41:F41"/>
    <mergeCell ref="C42:F42"/>
    <mergeCell ref="C43:F43"/>
    <mergeCell ref="C44:F44"/>
    <mergeCell ref="F62:H62"/>
    <mergeCell ref="C55:F55"/>
    <mergeCell ref="C56:F56"/>
    <mergeCell ref="C57:F57"/>
    <mergeCell ref="C50:F50"/>
    <mergeCell ref="C51:F51"/>
    <mergeCell ref="C52:F52"/>
    <mergeCell ref="C53:F53"/>
    <mergeCell ref="N73:O73"/>
    <mergeCell ref="L77:M77"/>
    <mergeCell ref="N76:O76"/>
    <mergeCell ref="N77:O77"/>
    <mergeCell ref="P76:Q76"/>
    <mergeCell ref="P77:Q77"/>
    <mergeCell ref="C39:F39"/>
    <mergeCell ref="G39:H39"/>
    <mergeCell ref="I39:J39"/>
    <mergeCell ref="L39:M39"/>
    <mergeCell ref="C54:F54"/>
    <mergeCell ref="N47:P47"/>
    <mergeCell ref="P46:Q46"/>
    <mergeCell ref="N48:P48"/>
    <mergeCell ref="N49:P49"/>
    <mergeCell ref="N50:P50"/>
    <mergeCell ref="N52:P52"/>
    <mergeCell ref="N53:P53"/>
    <mergeCell ref="N51:P51"/>
    <mergeCell ref="N54:R54"/>
    <mergeCell ref="B69:C69"/>
    <mergeCell ref="D63:E63"/>
    <mergeCell ref="F63:H63"/>
    <mergeCell ref="B64:C64"/>
    <mergeCell ref="I160:J160"/>
    <mergeCell ref="I163:J163"/>
    <mergeCell ref="I165:J165"/>
    <mergeCell ref="B187:C188"/>
    <mergeCell ref="G252:R252"/>
    <mergeCell ref="K253:R253"/>
    <mergeCell ref="L255:M255"/>
    <mergeCell ref="H6:I6"/>
    <mergeCell ref="N26:O26"/>
    <mergeCell ref="L27:M27"/>
    <mergeCell ref="L28:M28"/>
    <mergeCell ref="I7:J7"/>
    <mergeCell ref="K7:L7"/>
    <mergeCell ref="M7:N7"/>
    <mergeCell ref="O7:P7"/>
    <mergeCell ref="G92:I92"/>
    <mergeCell ref="O37:R37"/>
    <mergeCell ref="O38:R38"/>
    <mergeCell ref="O39:R39"/>
    <mergeCell ref="G38:H38"/>
    <mergeCell ref="J62:K62"/>
    <mergeCell ref="J64:K64"/>
    <mergeCell ref="J65:K65"/>
    <mergeCell ref="J66:K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mohammed</cp:lastModifiedBy>
  <dcterms:created xsi:type="dcterms:W3CDTF">2017-12-21T07:56:23Z</dcterms:created>
  <dcterms:modified xsi:type="dcterms:W3CDTF">2018-01-16T07:01:21Z</dcterms:modified>
</cp:coreProperties>
</file>